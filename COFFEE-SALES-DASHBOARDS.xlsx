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
    </mc:Choice>
  </mc:AlternateContent>
  <bookViews>
    <workbookView minimized="1" xWindow="0" yWindow="0" windowWidth="20490" windowHeight="7620" activeTab="3"/>
  </bookViews>
  <sheets>
    <sheet name="SALES DASHBOARD" sheetId="20" r:id="rId1"/>
    <sheet name="PROFIT DASHBOARD" sheetId="22" r:id="rId2"/>
    <sheet name="PIVOT" sheetId="19" r:id="rId3"/>
    <sheet name="orders" sheetId="17" r:id="rId4"/>
    <sheet name="customers" sheetId="13" r:id="rId5"/>
    <sheet name="PROFIT" sheetId="2" r:id="rId6"/>
  </sheets>
  <definedNames>
    <definedName name="_xlnm._FilterDatabase" localSheetId="3" hidden="1">orders!$A$1:$N$1001</definedName>
    <definedName name="_xlnm._FilterDatabase" localSheetId="5" hidden="1">PROFIT!$A$1:$G$49</definedName>
    <definedName name="Slicer_Country">#N/A</definedName>
    <definedName name="Slicer_Years">#N/A</definedName>
  </definedNames>
  <calcPr calcId="162913"/>
  <pivotCaches>
    <pivotCache cacheId="3"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3" i="19" l="1"/>
  <c r="G10" i="19"/>
</calcChain>
</file>

<file path=xl/sharedStrings.xml><?xml version="1.0" encoding="utf-8"?>
<sst xmlns="http://schemas.openxmlformats.org/spreadsheetml/2006/main" count="15027" uniqueCount="6223">
  <si>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</si>
  <si>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</si>
  <si>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</si>
  <si>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</si>
  <si>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</si>
  <si>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</si>
  <si>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</si>
  <si>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</si>
  <si>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</si>
  <si>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</si>
  <si>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</si>
  <si>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</si>
  <si>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</si>
  <si>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</si>
  <si>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</si>
  <si>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</si>
  <si>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</si>
  <si>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</si>
  <si>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</si>
  <si>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</si>
  <si>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</si>
  <si>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</si>
  <si>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</si>
  <si>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</si>
  <si>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</si>
  <si>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</si>
  <si>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</si>
  <si>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</si>
  <si>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</si>
  <si>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</si>
  <si>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</si>
  <si>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</si>
  <si>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</si>
  <si>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</si>
  <si>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</si>
  <si>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</si>
  <si>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</si>
  <si>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</si>
  <si>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</si>
  <si>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</si>
  <si>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</si>
  <si>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</si>
  <si>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</si>
  <si>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</si>
  <si>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</si>
  <si>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</si>
  <si>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</si>
  <si>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</si>
  <si>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</si>
  <si>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</si>
  <si>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</si>
  <si>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</si>
  <si>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</si>
  <si>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</si>
  <si>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</si>
  <si>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</si>
  <si>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</si>
  <si>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</si>
  <si>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</si>
  <si>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</si>
  <si>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</si>
  <si>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</si>
  <si>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</si>
  <si>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</si>
  <si>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</si>
  <si>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</si>
  <si>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</si>
  <si>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</si>
  <si>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</si>
  <si>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</si>
  <si>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</si>
  <si>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</si>
  <si>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</si>
  <si>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</si>
  <si>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</si>
  <si>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</si>
  <si>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</si>
  <si>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</si>
  <si>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</si>
  <si>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</si>
  <si>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</si>
  <si>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</si>
  <si>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</si>
  <si>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</si>
  <si>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</si>
  <si>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</si>
  <si>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</si>
  <si>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</si>
  <si>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</si>
  <si>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</si>
  <si>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</si>
  <si>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</si>
  <si>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</si>
  <si>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</si>
  <si>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</si>
  <si>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</si>
  <si>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</si>
  <si>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</si>
  <si>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</si>
  <si>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</si>
  <si>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</si>
  <si>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</si>
  <si>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</si>
  <si>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</si>
  <si>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</si>
  <si>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</si>
  <si>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</si>
  <si>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</si>
  <si>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</si>
  <si>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</si>
  <si>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</si>
  <si>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</si>
  <si>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</si>
  <si>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</si>
  <si>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</si>
  <si>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</si>
  <si>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</si>
  <si>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</si>
  <si>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</si>
  <si>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</si>
  <si>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</si>
  <si>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</si>
  <si>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</si>
  <si>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</si>
  <si>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</si>
  <si>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</si>
  <si>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</si>
  <si>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</si>
  <si>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</si>
  <si>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</si>
  <si>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</si>
  <si>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</si>
  <si>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</si>
  <si>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</si>
  <si>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</si>
  <si>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</si>
  <si>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</si>
  <si>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</si>
  <si>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</si>
  <si>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</si>
  <si>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</si>
  <si>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</si>
  <si>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</si>
  <si>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</si>
  <si>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</si>
  <si>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</si>
  <si>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</si>
  <si>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</si>
  <si>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</si>
  <si>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</si>
  <si>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</si>
  <si>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</si>
  <si>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</si>
  <si>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</si>
  <si>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</si>
  <si>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</si>
  <si>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</si>
  <si>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</si>
  <si>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</si>
  <si>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</si>
  <si>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</si>
  <si>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</si>
  <si>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</si>
  <si>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</si>
  <si>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</si>
  <si>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</si>
  <si>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</si>
  <si>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</si>
  <si>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</si>
  <si>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</si>
  <si>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</si>
  <si>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</si>
  <si>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</si>
  <si>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</si>
  <si>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</si>
  <si>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</si>
  <si>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</si>
  <si>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</si>
  <si>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</si>
  <si>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</si>
  <si>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</si>
  <si>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</si>
  <si>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</si>
  <si>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</si>
  <si>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</si>
  <si>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</si>
  <si>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</si>
  <si>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</si>
  <si>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</si>
  <si>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</si>
  <si>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</si>
  <si>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</si>
  <si>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</si>
  <si>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</si>
  <si>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</si>
  <si>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</si>
  <si>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</si>
  <si>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</si>
  <si>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</si>
  <si>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</si>
  <si>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</si>
  <si>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</si>
  <si>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</si>
  <si>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</si>
  <si>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</si>
  <si>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</si>
  <si>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</si>
  <si>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</si>
  <si>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</si>
  <si>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</si>
  <si>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</si>
  <si>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</si>
  <si>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</si>
  <si>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</si>
  <si>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</si>
  <si>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</si>
  <si>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</si>
  <si>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</si>
  <si>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</si>
  <si>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</si>
  <si>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</si>
  <si>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</si>
  <si>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</si>
  <si>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</si>
  <si>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</si>
  <si>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</si>
  <si>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</si>
  <si>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</si>
  <si>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</si>
  <si>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</si>
  <si>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</si>
  <si>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</si>
  <si>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</si>
  <si>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</si>
  <si>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</si>
  <si>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</si>
  <si>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</si>
  <si>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</si>
  <si>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</si>
  <si>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</si>
  <si>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</si>
  <si>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</si>
  <si>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</si>
  <si>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</si>
  <si>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</si>
  <si>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</si>
  <si>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</si>
  <si>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</si>
  <si>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</si>
  <si>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</si>
  <si>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</si>
  <si>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</si>
  <si>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</si>
  <si>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</si>
  <si>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</si>
  <si>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</si>
  <si>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</si>
  <si>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</si>
  <si>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</si>
  <si>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</si>
  <si>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</si>
  <si>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</si>
  <si>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</si>
  <si>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</si>
  <si>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</si>
  <si>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</si>
  <si>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</si>
  <si>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</si>
  <si>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</si>
  <si>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</si>
  <si>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</si>
  <si>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</si>
  <si>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</si>
  <si>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</si>
  <si>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</si>
  <si>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</si>
  <si>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</si>
  <si>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</si>
  <si>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</si>
  <si>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</si>
  <si>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</si>
  <si>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</si>
  <si>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</si>
  <si>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</si>
  <si>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</si>
  <si>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</si>
  <si>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</si>
  <si>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</si>
  <si>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</si>
  <si>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</si>
  <si>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</si>
  <si>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</si>
  <si>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</si>
  <si>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</si>
  <si>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</si>
  <si>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</si>
  <si>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</si>
  <si>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</si>
  <si>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</si>
  <si>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</si>
  <si>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</si>
  <si>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</si>
  <si>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</si>
  <si>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</si>
  <si>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</si>
  <si>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</si>
  <si>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</si>
  <si>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</si>
  <si>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</si>
  <si>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</si>
  <si>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</si>
  <si>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</si>
  <si>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</si>
  <si>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</si>
  <si>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</si>
  <si>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</si>
  <si>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</si>
  <si>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</si>
  <si>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</si>
  <si>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</si>
  <si>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</si>
  <si>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</si>
  <si>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</si>
  <si>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</si>
  <si>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</si>
  <si>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</si>
  <si>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</si>
  <si>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</si>
  <si>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</si>
  <si>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</si>
  <si>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</si>
  <si>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</si>
  <si>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</si>
  <si>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</si>
  <si>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</si>
  <si>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</si>
  <si>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</si>
  <si>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</si>
  <si>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</si>
  <si>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</si>
  <si>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</si>
  <si>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</si>
  <si>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</si>
  <si>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</si>
  <si>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</si>
  <si>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</si>
  <si>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</si>
  <si>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</si>
  <si>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</si>
  <si>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</si>
  <si>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</si>
  <si>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</si>
  <si>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</si>
  <si>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</si>
  <si>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</si>
  <si>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</si>
  <si>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</si>
  <si>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</si>
  <si>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</si>
  <si>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</si>
  <si>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</si>
  <si>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</si>
  <si>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</si>
  <si>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</si>
  <si>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</si>
  <si>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</si>
  <si>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</si>
  <si>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</si>
  <si>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</si>
  <si>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</si>
  <si>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</si>
  <si>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</si>
  <si>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</si>
  <si>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</si>
  <si>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</si>
  <si>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</si>
  <si>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</si>
  <si>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</si>
  <si>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</si>
  <si>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</si>
  <si>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</si>
  <si>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</si>
  <si>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</si>
  <si>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</si>
  <si>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</si>
  <si>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</si>
  <si>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</si>
  <si>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</si>
  <si>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</si>
  <si>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</si>
  <si>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</si>
  <si>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</si>
  <si>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</si>
  <si>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</si>
  <si>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</si>
  <si>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</si>
  <si>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</si>
  <si>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</si>
  <si>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</si>
  <si>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</si>
  <si>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</si>
  <si>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</si>
  <si>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</si>
  <si>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</si>
  <si>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</si>
  <si>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</si>
  <si>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</si>
  <si>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</si>
  <si>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</si>
  <si>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</si>
  <si>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</si>
  <si>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</si>
  <si>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</si>
  <si>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</si>
  <si>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</si>
  <si>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</si>
  <si>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</si>
  <si>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</si>
  <si>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</si>
  <si>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</si>
  <si>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</si>
  <si>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</si>
  <si>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</si>
  <si>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</si>
  <si>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</si>
  <si>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</si>
  <si>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</si>
  <si>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</si>
  <si>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</si>
  <si>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</si>
  <si>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</si>
  <si>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</si>
  <si>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</si>
  <si>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</si>
  <si>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</si>
  <si>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</si>
  <si>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</si>
  <si>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</si>
  <si>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</si>
  <si>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</si>
  <si>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</si>
  <si>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</si>
  <si>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</si>
  <si>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</si>
  <si>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</si>
  <si>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</si>
  <si>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</si>
  <si>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</si>
  <si>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</si>
  <si>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</si>
  <si>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</si>
  <si>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</si>
  <si>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</si>
  <si>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</si>
  <si>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</si>
  <si>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</si>
  <si>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</si>
  <si>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</si>
  <si>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</si>
  <si>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</si>
  <si>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</si>
  <si>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</si>
  <si>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</si>
  <si>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</si>
  <si>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</si>
  <si>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</si>
  <si>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</si>
  <si>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</si>
  <si>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</si>
  <si>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</si>
  <si>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</si>
  <si>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</si>
  <si>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</si>
  <si>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</si>
  <si>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</si>
  <si>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</si>
  <si>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</si>
  <si>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</si>
  <si>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</si>
  <si>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</si>
  <si>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</si>
  <si>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</si>
  <si>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</si>
  <si>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</si>
  <si>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</si>
  <si>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</si>
  <si>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</si>
  <si>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</si>
  <si>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</si>
  <si>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</si>
  <si>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</si>
  <si>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</si>
  <si>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</si>
  <si>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</si>
  <si>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</si>
  <si>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</si>
  <si>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</si>
  <si>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</si>
  <si>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</si>
  <si>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</si>
  <si>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</si>
  <si>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</si>
  <si>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</si>
  <si>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</si>
  <si>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</si>
  <si>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</si>
  <si>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</si>
  <si>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</si>
  <si>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</si>
  <si>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</si>
  <si>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</si>
  <si>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</si>
  <si>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</si>
  <si>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</si>
  <si>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</si>
  <si>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</si>
  <si>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</si>
  <si>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</si>
  <si>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</si>
  <si>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</si>
  <si>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</si>
  <si>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</si>
  <si>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</si>
  <si>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</si>
  <si>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</si>
  <si>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</si>
  <si>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</si>
  <si>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</si>
  <si>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</si>
  <si>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</si>
  <si>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</si>
  <si>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</si>
  <si>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</si>
  <si>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</si>
  <si>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</si>
  <si>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</si>
  <si>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</si>
  <si>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</si>
  <si>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</si>
  <si>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</si>
  <si>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</si>
  <si>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</si>
  <si>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</si>
  <si>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</si>
  <si>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</si>
  <si>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</si>
  <si>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</si>
  <si>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</si>
  <si>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</si>
  <si>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</si>
  <si>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</si>
  <si>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</si>
  <si>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</si>
  <si>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</si>
  <si>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</si>
  <si>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</si>
  <si>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</si>
  <si>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</si>
  <si>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</si>
  <si>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</si>
  <si>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</si>
  <si>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</si>
  <si>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</si>
  <si>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</si>
  <si>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</si>
  <si>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</si>
  <si>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</si>
  <si>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</si>
  <si>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</si>
  <si>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</si>
  <si>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</si>
  <si>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</si>
  <si>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</si>
  <si>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</si>
  <si>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</si>
  <si>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</si>
  <si>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</si>
  <si>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</si>
  <si>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</si>
  <si>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</si>
  <si>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</si>
  <si>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</si>
  <si>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</si>
  <si>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</si>
  <si>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</si>
  <si>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</si>
  <si>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</si>
  <si>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</si>
  <si>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</si>
  <si>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</si>
  <si>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</si>
  <si>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</si>
  <si>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</si>
  <si>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</si>
  <si>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</si>
  <si>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</si>
  <si>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</si>
  <si>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</si>
  <si>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</si>
  <si>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</si>
  <si>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</si>
  <si>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</si>
  <si>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</si>
  <si>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</si>
  <si>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</si>
  <si>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</si>
  <si>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</si>
  <si>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</si>
  <si>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</si>
  <si>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</si>
  <si>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</si>
  <si>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</si>
  <si>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</si>
  <si>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</si>
  <si>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</si>
  <si>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</si>
  <si>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</si>
  <si>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</si>
  <si>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</si>
  <si>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</si>
  <si>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</si>
  <si>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</si>
  <si>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</si>
  <si>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</si>
  <si>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</si>
  <si>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</si>
  <si>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</si>
  <si>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</si>
  <si>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</si>
  <si>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</si>
  <si>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</si>
  <si>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</si>
  <si>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</si>
  <si>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</si>
  <si>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</si>
  <si>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</si>
  <si>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</si>
  <si>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</si>
  <si>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</si>
  <si>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</si>
  <si>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</si>
  <si>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</si>
  <si>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</si>
  <si>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</si>
  <si>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</si>
  <si>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</si>
  <si>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</si>
  <si>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</si>
  <si>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</si>
  <si>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</si>
  <si>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</si>
  <si>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</si>
  <si>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</si>
  <si>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</si>
  <si>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</si>
  <si>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</si>
  <si>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</si>
  <si>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</si>
  <si>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</si>
  <si>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</si>
  <si>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</si>
  <si>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</si>
  <si>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</si>
  <si>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</si>
  <si>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</si>
  <si>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</si>
  <si>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</si>
  <si>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</si>
  <si>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</si>
  <si>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</si>
  <si>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</si>
  <si>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</si>
  <si>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</si>
  <si>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</si>
  <si>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</si>
  <si>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</si>
  <si>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</si>
  <si>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</si>
  <si>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</si>
  <si>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</si>
  <si>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</si>
  <si>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</si>
  <si>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</si>
  <si>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</si>
  <si>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</si>
  <si>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</si>
  <si>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</si>
  <si>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</si>
  <si>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</si>
  <si>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</si>
  <si>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</si>
  <si>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</si>
  <si>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</si>
  <si>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</si>
  <si>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</si>
  <si>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</si>
  <si>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</si>
  <si>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</si>
  <si>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</si>
  <si>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</si>
  <si>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</si>
  <si>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</si>
  <si>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</si>
  <si>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</si>
  <si>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</si>
  <si>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</si>
  <si>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</si>
  <si>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</si>
  <si>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</si>
  <si>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</si>
  <si>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</si>
  <si>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</si>
  <si>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</si>
  <si>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</si>
  <si>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</si>
  <si>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</si>
  <si>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</si>
  <si>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</si>
  <si>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</si>
  <si>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</si>
  <si>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</si>
  <si>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</si>
  <si>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</si>
  <si>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</si>
  <si>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</si>
  <si>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</si>
  <si>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</si>
  <si>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</si>
  <si>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</si>
  <si>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</si>
  <si>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</si>
  <si>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</si>
  <si>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</si>
  <si>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</si>
  <si>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</si>
  <si>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</si>
  <si>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</si>
  <si>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</si>
  <si>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</si>
  <si>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</si>
  <si>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</si>
  <si>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</si>
  <si>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</si>
  <si>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</si>
  <si>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</si>
  <si>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</si>
  <si>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</si>
  <si>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</si>
  <si>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</si>
  <si>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</si>
  <si>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</si>
  <si>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</si>
  <si>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</si>
  <si>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</si>
  <si>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</si>
  <si>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</si>
  <si>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</si>
  <si>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</si>
  <si>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</si>
  <si>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</si>
  <si>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</si>
  <si>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</si>
  <si>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</si>
  <si>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</si>
  <si>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</si>
  <si>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</si>
  <si>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</si>
  <si>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</si>
  <si>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</si>
  <si>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</si>
  <si>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</si>
  <si>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</si>
  <si>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</si>
  <si>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</si>
  <si>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</si>
  <si>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</si>
  <si>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</si>
  <si>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</si>
  <si>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</si>
  <si>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</si>
  <si>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</si>
  <si>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</si>
  <si>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</si>
  <si>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</si>
  <si>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</si>
  <si>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</si>
  <si>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</si>
  <si>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</si>
  <si>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</si>
  <si>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</si>
  <si>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</si>
  <si>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</si>
  <si>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</si>
  <si>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</si>
  <si>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</si>
  <si>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</si>
  <si>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</si>
  <si>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</si>
  <si>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</si>
  <si>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</si>
  <si>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</si>
  <si>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</si>
  <si>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</si>
  <si>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</si>
  <si>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</si>
  <si>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</si>
  <si>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</si>
  <si>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</si>
  <si>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</si>
  <si>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</si>
  <si>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</si>
  <si>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</si>
  <si>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</si>
  <si>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</si>
  <si>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</si>
  <si>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</si>
  <si>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</si>
  <si>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</si>
  <si>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</si>
  <si>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</si>
  <si>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</si>
  <si>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</si>
  <si>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</si>
  <si>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</si>
  <si>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</si>
  <si>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</si>
  <si>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</si>
  <si>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</si>
  <si>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</si>
  <si>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</si>
  <si>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</si>
  <si>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</si>
  <si>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</si>
  <si>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</si>
  <si>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</si>
  <si>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</si>
  <si>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</si>
  <si>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</si>
  <si>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</si>
  <si>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</si>
  <si>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</si>
  <si>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</si>
  <si>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</si>
  <si>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</si>
  <si>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</si>
  <si>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</si>
  <si>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</si>
  <si>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</si>
  <si>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</si>
  <si>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</si>
  <si>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</si>
  <si>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</si>
  <si>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</si>
  <si>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</si>
  <si>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</si>
  <si>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</si>
  <si>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</si>
  <si>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</si>
  <si>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</si>
  <si>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</si>
  <si>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</si>
  <si>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</si>
  <si>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</si>
  <si>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</si>
  <si>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</si>
  <si>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</si>
  <si>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</si>
  <si>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</si>
  <si>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</si>
  <si>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</si>
  <si>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</si>
  <si>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</si>
  <si>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</si>
  <si>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</si>
  <si>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</si>
  <si>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</si>
  <si>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</si>
  <si>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</si>
  <si>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</si>
  <si>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</si>
  <si>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</si>
  <si>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</si>
  <si>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</si>
  <si>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</si>
  <si>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</si>
  <si>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</si>
  <si>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</si>
  <si>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</si>
  <si>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</si>
  <si>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</si>
  <si>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</si>
  <si>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</si>
  <si>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</si>
  <si>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</si>
  <si>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</si>
  <si>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</si>
  <si>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</si>
  <si>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</si>
  <si>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</si>
  <si>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</si>
  <si>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</si>
  <si>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</si>
  <si>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</si>
  <si>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</si>
  <si>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</si>
  <si>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</si>
  <si>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</si>
  <si>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</si>
  <si>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</si>
  <si>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</si>
  <si>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</si>
  <si>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</si>
  <si>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</si>
  <si>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</si>
  <si>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</si>
  <si>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</si>
  <si>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</si>
  <si>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</si>
  <si>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</si>
  <si>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</si>
  <si>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</si>
  <si>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</si>
  <si>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</si>
  <si>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</si>
  <si>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</si>
  <si>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</si>
  <si>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</si>
  <si>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</si>
  <si>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</si>
  <si>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</si>
  <si>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</si>
  <si>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</si>
  <si>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</si>
  <si>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</si>
  <si>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</si>
  <si>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</si>
  <si>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</si>
  <si>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</si>
  <si>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</si>
  <si>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</si>
  <si>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</si>
  <si>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</si>
  <si>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</si>
  <si>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</si>
  <si>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</si>
  <si>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</si>
  <si>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</si>
  <si>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</si>
  <si>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</si>
  <si>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</si>
  <si>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</si>
  <si>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</si>
  <si>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</si>
  <si>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</si>
  <si>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</si>
  <si>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</si>
  <si>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</si>
  <si>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</si>
  <si>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</si>
  <si>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</si>
  <si>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</si>
  <si>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</si>
  <si>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</si>
  <si>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</si>
  <si>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</si>
  <si>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</si>
  <si>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</si>
  <si>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</si>
  <si>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</si>
  <si>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</si>
  <si>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</si>
  <si>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</si>
  <si>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</si>
  <si>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</si>
  <si>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</si>
  <si>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</si>
  <si>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</si>
  <si>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</si>
  <si>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</si>
  <si>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</si>
  <si>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</si>
  <si>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</si>
  <si>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</si>
  <si>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</si>
  <si>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</si>
  <si>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</si>
  <si>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</si>
  <si>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</si>
  <si>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</si>
  <si>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</si>
  <si>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</si>
  <si>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</si>
  <si>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</si>
  <si>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</si>
  <si>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</si>
  <si>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</si>
  <si>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</si>
  <si>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</si>
  <si>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</si>
  <si>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</si>
  <si>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</si>
  <si>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</si>
  <si>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</si>
  <si>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</si>
  <si>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</si>
  <si>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</si>
  <si>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</si>
  <si>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</si>
  <si>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</si>
  <si>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</si>
  <si>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</si>
  <si>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</si>
  <si>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</si>
  <si>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</si>
  <si>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</si>
  <si>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</si>
  <si>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</si>
  <si>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</si>
  <si>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</si>
  <si>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</si>
  <si>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</si>
  <si>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</si>
  <si>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</si>
  <si>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</si>
  <si>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</si>
  <si>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</si>
  <si>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</si>
  <si>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</si>
  <si>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</si>
  <si>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</si>
  <si>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</si>
  <si>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</si>
  <si>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</si>
  <si>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</si>
  <si>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</si>
  <si>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</si>
  <si>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</si>
  <si>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</si>
  <si>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</si>
  <si>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</si>
  <si>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</si>
  <si>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</si>
  <si>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</si>
  <si>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</si>
  <si>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</si>
  <si>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</si>
  <si>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</si>
  <si>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</si>
  <si>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</si>
  <si>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</si>
  <si>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</si>
  <si>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</si>
  <si>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</si>
  <si>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</si>
  <si>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</si>
  <si>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</si>
  <si>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</si>
  <si>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</si>
  <si>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</si>
  <si>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</si>
  <si>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</si>
  <si>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</si>
  <si>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</si>
  <si>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</si>
  <si>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</si>
  <si>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</si>
  <si>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</si>
  <si>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</si>
  <si>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</si>
  <si>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</si>
  <si>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</si>
  <si>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</si>
  <si>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</si>
  <si>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</si>
  <si>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</si>
  <si>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</si>
  <si>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</si>
  <si>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</si>
  <si>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</si>
  <si>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</si>
  <si>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</si>
  <si>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</si>
  <si>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</si>
  <si>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</si>
  <si>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</si>
  <si>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</si>
  <si>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</si>
  <si>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</si>
  <si>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</si>
  <si>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</si>
  <si>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</si>
  <si>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</si>
  <si>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</si>
  <si>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</si>
  <si>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</si>
  <si>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</si>
  <si>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</si>
  <si>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</si>
  <si>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</si>
  <si>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</si>
  <si>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</si>
  <si>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</si>
  <si>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</si>
  <si>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</si>
  <si>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</si>
  <si>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</si>
  <si>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</si>
  <si>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</si>
  <si>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</si>
  <si>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</si>
  <si>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</si>
  <si>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</si>
  <si>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</si>
  <si>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</si>
  <si>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</si>
  <si>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</si>
  <si>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</si>
  <si>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</si>
  <si>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</si>
  <si>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</si>
  <si>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</si>
  <si>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</si>
  <si>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</si>
  <si>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</si>
  <si>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</si>
  <si>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</si>
  <si>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</si>
  <si>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</si>
  <si>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</si>
  <si>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</si>
  <si>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</si>
  <si>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</si>
  <si>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</si>
  <si>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</si>
  <si>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</si>
  <si>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</si>
  <si>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</si>
  <si>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</si>
  <si>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</si>
  <si>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</si>
  <si>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</si>
  <si>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</si>
  <si>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</si>
  <si>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</si>
  <si>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</si>
  <si>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</si>
  <si>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</si>
  <si>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</si>
  <si>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</si>
  <si>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</si>
  <si>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</si>
  <si>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</si>
  <si>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</si>
  <si>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</si>
  <si>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</si>
  <si>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</si>
  <si>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</si>
  <si>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</si>
  <si>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</si>
  <si>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</si>
  <si>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</si>
  <si>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</si>
  <si>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</si>
  <si>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</si>
  <si>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</si>
  <si>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</si>
  <si>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</si>
  <si>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</si>
  <si>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</si>
  <si>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</si>
  <si>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</si>
  <si>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</si>
  <si>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</si>
  <si>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</si>
  <si>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</si>
  <si>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</si>
  <si>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</si>
  <si>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</si>
  <si>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</si>
  <si>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</si>
  <si>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</si>
  <si>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</si>
  <si>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</si>
  <si>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</si>
  <si>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</si>
  <si>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</si>
  <si>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</si>
  <si>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</si>
  <si>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</si>
  <si>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</si>
  <si>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</si>
  <si>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</si>
  <si>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</si>
  <si>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</si>
  <si>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</si>
  <si>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</si>
  <si>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</si>
  <si>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</si>
  <si>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</si>
  <si>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</si>
  <si>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</si>
  <si>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</si>
  <si>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</si>
  <si>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</si>
  <si>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</si>
  <si>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</si>
  <si>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</si>
  <si>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</si>
  <si>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</si>
  <si>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</si>
  <si>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</si>
  <si>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</si>
  <si>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</si>
  <si>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</si>
  <si>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</si>
  <si>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</si>
  <si>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</si>
  <si>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</si>
  <si>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</si>
  <si>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</si>
  <si>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</si>
  <si>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</si>
  <si>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</si>
  <si>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</si>
  <si>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</si>
  <si>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</si>
  <si>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</si>
  <si>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</si>
  <si>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</si>
  <si>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</si>
  <si>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</si>
  <si>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</si>
  <si>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</si>
  <si>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</si>
  <si>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</si>
  <si>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</si>
  <si>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</si>
  <si>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</si>
  <si>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</si>
  <si>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</si>
  <si>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</si>
  <si>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</si>
  <si>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</si>
  <si>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</si>
  <si>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</si>
  <si>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</si>
  <si>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</si>
  <si>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</si>
  <si>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</si>
  <si>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</si>
  <si>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</si>
  <si>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</si>
  <si>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</si>
  <si>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</si>
  <si>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</si>
  <si>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</si>
  <si>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</si>
  <si>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</si>
  <si>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</si>
  <si>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</si>
  <si>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</si>
  <si>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</si>
  <si>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</si>
  <si>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</si>
  <si>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</si>
  <si>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</si>
  <si>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</si>
  <si>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</si>
  <si>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</si>
  <si>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</si>
  <si>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</si>
  <si>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</si>
  <si>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</si>
  <si>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</si>
  <si>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</si>
  <si>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</si>
  <si>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</si>
  <si>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</si>
  <si>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</si>
  <si>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</si>
  <si>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</si>
  <si>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</si>
  <si>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</si>
  <si>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</si>
  <si>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</si>
  <si>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</si>
  <si>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</si>
  <si>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</si>
  <si>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</si>
  <si>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</si>
  <si>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</si>
  <si>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</si>
  <si>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</si>
  <si>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</si>
  <si>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</si>
  <si>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</si>
  <si>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</si>
  <si>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</si>
  <si>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</si>
  <si>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</si>
  <si>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</si>
  <si>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</si>
  <si>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</si>
  <si>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</si>
  <si>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</si>
  <si>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</si>
  <si>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</si>
  <si>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</si>
  <si>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</si>
  <si>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</si>
  <si>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</si>
  <si>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</si>
  <si>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</si>
  <si>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</si>
  <si>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</si>
  <si>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</si>
  <si>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</si>
  <si>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</si>
  <si>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</si>
  <si>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</si>
  <si>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</si>
  <si>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</si>
  <si>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</si>
  <si>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</si>
  <si>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</si>
  <si>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</si>
  <si>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</si>
  <si>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</si>
  <si>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</si>
  <si>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</si>
  <si>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</si>
  <si>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</si>
  <si>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</si>
  <si>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</si>
  <si>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</si>
  <si>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</si>
  <si>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</si>
  <si>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</si>
  <si>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</si>
  <si>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</si>
  <si>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</si>
  <si>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</si>
  <si>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</si>
  <si>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</si>
  <si>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</si>
  <si>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</si>
  <si>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</si>
  <si>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</si>
  <si>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</si>
  <si>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</si>
  <si>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</si>
  <si>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</si>
  <si>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</si>
  <si>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</si>
  <si>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</si>
  <si>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</si>
  <si>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</si>
  <si>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</si>
  <si>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</si>
  <si>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</si>
  <si>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</si>
  <si>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</si>
  <si>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</si>
  <si>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</si>
  <si>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</si>
  <si>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</si>
  <si>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</si>
  <si>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</si>
  <si>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</si>
  <si>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</si>
  <si>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</si>
  <si>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</si>
  <si>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</si>
  <si>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</si>
  <si>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</si>
  <si>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</si>
  <si>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</si>
  <si>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</si>
  <si>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</si>
  <si>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</si>
  <si>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</si>
  <si>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</si>
  <si>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</si>
  <si>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</si>
  <si>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</si>
  <si>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</si>
  <si>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</si>
  <si>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</si>
  <si>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</si>
  <si>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</si>
  <si>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</si>
  <si>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</si>
  <si>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</si>
  <si>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</si>
  <si>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</si>
  <si>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</si>
  <si>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</si>
  <si>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</si>
  <si>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</si>
  <si>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</si>
  <si>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</si>
  <si>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</si>
  <si>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</si>
  <si>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</si>
  <si>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</si>
  <si>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</si>
  <si>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</si>
  <si>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</si>
  <si>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</si>
  <si>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</si>
  <si>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</si>
  <si>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</si>
  <si>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</si>
  <si>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</si>
  <si>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</si>
  <si>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</si>
  <si>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</si>
  <si>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</si>
  <si>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</si>
  <si>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</si>
  <si>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</si>
  <si>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</si>
  <si>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</si>
  <si>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</si>
  <si>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</si>
  <si>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</si>
  <si>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</si>
  <si>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</si>
  <si>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</si>
  <si>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</si>
  <si>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</si>
  <si>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</si>
  <si>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</si>
  <si>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</si>
  <si>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</si>
  <si>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</si>
  <si>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</si>
  <si>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</si>
  <si>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</si>
  <si>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</si>
  <si>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</si>
  <si>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</si>
  <si>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</si>
  <si>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</si>
  <si>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</si>
  <si>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</si>
  <si>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</si>
  <si>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</si>
  <si>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</si>
  <si>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</si>
  <si>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</si>
  <si>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</si>
  <si>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</si>
  <si>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</si>
  <si>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</si>
  <si>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</si>
  <si>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</si>
  <si>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</si>
  <si>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</si>
  <si>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</si>
  <si>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</si>
  <si>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</si>
  <si>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</si>
  <si>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</si>
  <si>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</si>
  <si>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</si>
  <si>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</si>
  <si>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</si>
  <si>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</si>
  <si>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</si>
  <si>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</si>
  <si>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</si>
  <si>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</si>
  <si>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</si>
  <si>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</si>
  <si>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</si>
  <si>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</si>
  <si>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</si>
  <si>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</si>
  <si>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</si>
  <si>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</si>
  <si>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</si>
  <si>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</si>
  <si>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</si>
  <si>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</si>
  <si>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</si>
  <si>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</si>
  <si>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</si>
  <si>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</si>
  <si>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</si>
  <si>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</si>
  <si>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</si>
  <si>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</si>
  <si>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</si>
  <si>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</si>
  <si>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</si>
  <si>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</si>
  <si>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</si>
  <si>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</si>
  <si>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</si>
  <si>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</si>
  <si>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</si>
  <si>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</si>
  <si>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</si>
  <si>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</si>
  <si>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</si>
  <si>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</si>
  <si>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</si>
  <si>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</si>
  <si>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</si>
  <si>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</si>
  <si>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</si>
  <si>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</si>
  <si>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</si>
  <si>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</si>
  <si>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</si>
  <si>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</si>
  <si>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</si>
  <si>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</si>
  <si>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</si>
  <si>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</si>
  <si>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</si>
  <si>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</si>
  <si>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</si>
  <si>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</si>
  <si>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</si>
  <si>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</si>
  <si>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</si>
  <si>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</si>
  <si>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</si>
  <si>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</si>
  <si>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</si>
  <si>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</si>
  <si>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</si>
  <si>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</si>
  <si>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</si>
  <si>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</si>
  <si>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</si>
  <si>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</si>
  <si>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</si>
  <si>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</si>
  <si>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</si>
  <si>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</si>
  <si>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</si>
  <si>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</si>
  <si>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</si>
  <si>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</si>
  <si>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</si>
  <si>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</si>
  <si>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</si>
  <si>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</si>
  <si>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</si>
  <si>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</si>
  <si>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</si>
  <si>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</si>
  <si>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</si>
  <si>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</si>
  <si>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</si>
  <si>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</si>
  <si>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</si>
  <si>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</si>
  <si>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</si>
  <si>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</si>
  <si>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</si>
  <si>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</si>
  <si>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</si>
  <si>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</si>
  <si>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</si>
  <si>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</si>
  <si>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</si>
  <si>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</si>
  <si>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</si>
  <si>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</si>
  <si>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</si>
  <si>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</si>
  <si>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</si>
  <si>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</si>
  <si>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</si>
  <si>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</si>
  <si>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</si>
  <si>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</si>
  <si>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</si>
  <si>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</si>
  <si>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</si>
  <si>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</si>
  <si>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</si>
  <si>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</si>
  <si>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</si>
  <si>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</si>
  <si>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</si>
  <si>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</si>
  <si>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</si>
  <si>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</si>
  <si>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</si>
  <si>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</si>
  <si>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</si>
  <si>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</si>
  <si>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</si>
  <si>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</si>
  <si>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</si>
  <si>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</si>
  <si>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</si>
  <si>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</si>
  <si>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</si>
  <si>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</si>
  <si>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</si>
  <si>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</si>
  <si>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</si>
  <si>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</si>
  <si>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</si>
  <si>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</si>
  <si>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</si>
  <si>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</si>
  <si>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</si>
  <si>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</si>
  <si>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</si>
  <si>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</si>
  <si>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</si>
  <si>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</si>
  <si>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</si>
  <si>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</si>
  <si>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</si>
  <si>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</si>
  <si>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</si>
  <si>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</si>
  <si>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</si>
  <si>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</si>
  <si>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</si>
  <si>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</si>
  <si>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</si>
  <si>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</si>
  <si>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</si>
  <si>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</si>
  <si>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</si>
  <si>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</si>
  <si>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</si>
  <si>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</si>
  <si>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</si>
  <si>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</si>
  <si>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</si>
  <si>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</si>
  <si>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</si>
  <si>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</si>
  <si>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</si>
  <si>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</si>
  <si>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</si>
  <si>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</si>
  <si>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</si>
  <si>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</si>
  <si>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</si>
  <si>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</si>
  <si>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</si>
  <si>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</si>
  <si>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</si>
  <si>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</si>
  <si>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</si>
  <si>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</si>
  <si>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</si>
  <si>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</si>
  <si>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</si>
  <si>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</si>
  <si>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</si>
  <si>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</si>
  <si>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</si>
  <si>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</si>
  <si>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</si>
  <si>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</si>
  <si>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</si>
  <si>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</si>
  <si>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</si>
  <si>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</si>
  <si>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</si>
  <si>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</si>
  <si>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</si>
  <si>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</si>
  <si>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</si>
  <si>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</si>
  <si>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</si>
  <si>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</si>
  <si>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</si>
  <si>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</si>
  <si>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</si>
  <si>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</si>
  <si>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</si>
  <si>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</si>
  <si>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</si>
  <si>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</si>
  <si>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</si>
  <si>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</si>
  <si>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</si>
  <si>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</si>
  <si>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</si>
  <si>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</si>
  <si>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</si>
  <si>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</si>
  <si>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</si>
  <si>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</si>
  <si>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</si>
  <si>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</si>
  <si>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</si>
  <si>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</si>
  <si>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</si>
  <si>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</si>
  <si>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</si>
  <si>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</si>
  <si>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</si>
  <si>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</si>
  <si>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</si>
  <si>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</si>
  <si>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</si>
  <si>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</si>
  <si>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</si>
  <si>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</si>
  <si>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</si>
  <si>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</si>
  <si>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</si>
  <si>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</si>
  <si>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</si>
  <si>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</si>
  <si>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</si>
  <si>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</si>
  <si>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</si>
  <si>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</si>
  <si>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</si>
  <si>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</si>
  <si>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</si>
  <si>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</si>
  <si>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</si>
  <si>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</si>
  <si>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</si>
  <si>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</si>
  <si>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</si>
  <si>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</si>
  <si>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</si>
  <si>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</si>
  <si>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</si>
  <si>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</si>
  <si>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</si>
  <si>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</si>
  <si>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</si>
  <si>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</si>
  <si>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</si>
  <si>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</si>
  <si>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</si>
  <si>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</si>
  <si>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</si>
  <si>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</si>
  <si>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</si>
  <si>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</si>
  <si>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</si>
  <si>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</si>
  <si>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</si>
  <si>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</si>
  <si>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</si>
  <si>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</si>
  <si>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</si>
  <si>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</si>
  <si>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</si>
  <si>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</si>
  <si>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</si>
  <si>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</si>
  <si>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</si>
  <si>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</si>
  <si>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</si>
  <si>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</si>
  <si>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</si>
  <si>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</si>
  <si>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</si>
  <si>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</si>
  <si>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</si>
  <si>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</si>
  <si>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</si>
  <si>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</si>
  <si>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</si>
  <si>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</si>
  <si>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</si>
  <si>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</si>
  <si>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</si>
  <si>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</si>
  <si>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</si>
  <si>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</si>
  <si>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</si>
  <si>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</si>
  <si>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</si>
  <si>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</si>
  <si>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</si>
  <si>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</si>
  <si>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</si>
  <si>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</si>
  <si>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</si>
  <si>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</si>
  <si>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</si>
  <si>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</si>
  <si>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</si>
  <si>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</si>
  <si>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</si>
  <si>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</si>
  <si>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</si>
  <si>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</si>
  <si>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</si>
  <si>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</si>
  <si>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</si>
  <si>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</si>
  <si>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</si>
  <si>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</si>
  <si>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</si>
  <si>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</si>
  <si>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</si>
  <si>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</si>
  <si>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</si>
  <si>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</si>
  <si>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</si>
  <si>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</si>
  <si>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</si>
  <si>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</si>
  <si>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</si>
  <si>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</si>
  <si>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</si>
  <si>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</si>
  <si>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</si>
  <si>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</si>
  <si>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</si>
  <si>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</si>
  <si>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</si>
  <si>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</si>
  <si>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</si>
  <si>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</si>
  <si>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</si>
  <si>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</si>
  <si>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</si>
  <si>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</si>
  <si>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</si>
  <si>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</si>
  <si>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</si>
  <si>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</si>
  <si>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</si>
  <si>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</si>
  <si>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</si>
  <si>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</si>
  <si>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</si>
  <si>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</si>
  <si>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</si>
  <si>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</si>
  <si>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</si>
  <si>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</si>
  <si>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</si>
  <si>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</si>
  <si>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</si>
  <si>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</si>
  <si>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</si>
  <si>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</si>
  <si>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</si>
  <si>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</si>
  <si>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</si>
  <si>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</si>
  <si>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</si>
  <si>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</si>
  <si>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</si>
  <si>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</si>
  <si>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</si>
  <si>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</si>
  <si>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</si>
  <si>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</si>
  <si>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</si>
  <si>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</si>
  <si>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</si>
  <si>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</si>
  <si>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</si>
  <si>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</si>
  <si>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</si>
  <si>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</si>
  <si>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</si>
  <si>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</si>
  <si>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</si>
  <si>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</si>
  <si>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</si>
  <si>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</si>
  <si>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</si>
  <si>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</si>
  <si>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</si>
  <si>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</si>
  <si>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</si>
  <si>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</si>
  <si>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</si>
  <si>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</si>
  <si>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</si>
  <si>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</si>
  <si>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</si>
  <si>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</si>
  <si>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</si>
  <si>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</si>
  <si>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</si>
  <si>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</si>
  <si>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</si>
  <si>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</si>
  <si>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</si>
  <si>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</si>
  <si>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</si>
  <si>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</si>
  <si>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</si>
  <si>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</si>
  <si>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</si>
  <si>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</si>
  <si>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</si>
  <si>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</si>
  <si>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</si>
  <si>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</si>
  <si>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</si>
  <si>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</si>
  <si>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</si>
  <si>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</si>
  <si>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</si>
  <si>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</si>
  <si>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</si>
  <si>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</si>
  <si>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</si>
  <si>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</si>
  <si>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</si>
  <si>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</si>
  <si>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</si>
  <si>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</si>
  <si>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</si>
  <si>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</si>
  <si>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</si>
  <si>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</si>
  <si>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</si>
  <si>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</si>
  <si>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</si>
  <si>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</si>
  <si>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</si>
  <si>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</si>
  <si>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</si>
  <si>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</si>
  <si>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</si>
  <si>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</si>
  <si>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</si>
  <si>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</si>
  <si>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</si>
  <si>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</si>
  <si>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</si>
  <si>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</si>
  <si>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</si>
  <si>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</si>
  <si>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</si>
  <si>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</si>
  <si>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</si>
  <si>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</si>
  <si>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</si>
  <si>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</si>
  <si>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</si>
  <si>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</si>
  <si>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</si>
  <si>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</si>
  <si>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</si>
  <si>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</si>
  <si>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</si>
  <si>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</si>
  <si>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</si>
  <si>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</si>
  <si>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</si>
  <si>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</si>
  <si>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</si>
  <si>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</si>
  <si>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</si>
  <si>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</si>
  <si>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</si>
  <si>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</si>
  <si>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</si>
  <si>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</si>
  <si>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</si>
  <si>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</si>
  <si>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</si>
  <si>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</si>
  <si>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</si>
  <si>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</si>
  <si>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</si>
  <si>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</si>
  <si>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</si>
  <si>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</si>
  <si>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</si>
  <si>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</si>
  <si>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</si>
  <si>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</si>
  <si>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</si>
  <si>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</si>
  <si>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</si>
  <si>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</si>
  <si>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</si>
  <si>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</si>
  <si>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</si>
  <si>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</si>
  <si>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</si>
  <si>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</si>
  <si>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</si>
  <si>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</si>
  <si>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</si>
  <si>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</si>
  <si>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</si>
  <si>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</si>
  <si>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</si>
  <si>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</si>
  <si>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</si>
  <si>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</si>
  <si>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</si>
  <si>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</si>
  <si>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</si>
  <si>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</si>
  <si>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</si>
  <si>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</si>
  <si>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</si>
  <si>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</si>
  <si>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</si>
  <si>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</si>
  <si>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</si>
  <si>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</si>
  <si>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</si>
  <si>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</si>
  <si>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</si>
  <si>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</si>
  <si>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</si>
  <si>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</si>
  <si>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</si>
  <si>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</si>
  <si>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</si>
  <si>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</si>
  <si>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</si>
  <si>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</si>
  <si>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</si>
  <si>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</si>
  <si>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</si>
  <si>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</si>
  <si>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</si>
  <si>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</si>
  <si>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</si>
  <si>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</si>
  <si>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</si>
  <si>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</si>
  <si>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</si>
  <si>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</si>
  <si>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</si>
  <si>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</si>
  <si>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</si>
  <si>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</si>
  <si>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</si>
  <si>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</si>
  <si>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</si>
  <si>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</si>
  <si>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</si>
  <si>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</si>
  <si>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</si>
  <si>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</si>
  <si>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</si>
  <si>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</si>
  <si>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</si>
  <si>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</si>
  <si>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</si>
  <si>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</si>
  <si>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</si>
  <si>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</si>
  <si>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</si>
  <si>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</si>
  <si>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</si>
  <si>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</si>
  <si>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</si>
  <si>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</si>
  <si>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</si>
  <si>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</si>
  <si>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</si>
  <si>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</si>
  <si>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</si>
  <si>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</si>
  <si>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</si>
  <si>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</si>
  <si>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</si>
  <si>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</si>
  <si>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</si>
  <si>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</si>
  <si>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</si>
  <si>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</si>
  <si>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</si>
  <si>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</si>
  <si>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</si>
  <si>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</si>
  <si>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</si>
  <si>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</si>
  <si>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</si>
  <si>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</si>
  <si>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</si>
  <si>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</si>
  <si>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</si>
  <si>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</si>
  <si>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</si>
  <si>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</si>
  <si>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</si>
  <si>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</si>
  <si>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</si>
  <si>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</si>
  <si>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</si>
  <si>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</si>
  <si>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</si>
  <si>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</si>
  <si>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</si>
  <si>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</si>
  <si>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</si>
  <si>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</si>
  <si>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</si>
  <si>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</si>
  <si>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</si>
  <si>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</si>
  <si>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</si>
  <si>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</si>
  <si>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</si>
  <si>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</si>
  <si>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</si>
  <si>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</si>
  <si>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</si>
  <si>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</si>
  <si>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</si>
  <si>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</si>
  <si>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</si>
  <si>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</si>
  <si>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</si>
  <si>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</si>
  <si>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</si>
  <si>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</si>
  <si>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</si>
  <si>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</si>
  <si>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</si>
  <si>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</si>
  <si>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</si>
  <si>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</si>
  <si>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</si>
  <si>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</si>
  <si>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</si>
  <si>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</si>
  <si>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</si>
  <si>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</si>
  <si>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</si>
  <si>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</si>
  <si>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</si>
  <si>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</si>
  <si>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</si>
  <si>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</si>
  <si>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</si>
  <si>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</si>
  <si>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</si>
  <si>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</si>
  <si>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</si>
  <si>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</si>
  <si>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</si>
  <si>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</si>
  <si>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</si>
  <si>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</si>
  <si>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</si>
  <si>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</si>
  <si>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</si>
  <si>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</si>
  <si>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</si>
  <si>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</si>
  <si>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</si>
  <si>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</si>
  <si>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</si>
  <si>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</si>
  <si>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</si>
  <si>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</si>
  <si>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</si>
  <si>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</si>
  <si>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</si>
  <si>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</si>
  <si>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</si>
  <si>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</si>
  <si>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</si>
  <si>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</si>
  <si>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</si>
  <si>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</si>
  <si>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</si>
  <si>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</si>
  <si>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</si>
  <si>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</si>
  <si>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</si>
  <si>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</si>
  <si>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</si>
  <si>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</si>
  <si>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</si>
  <si>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</si>
  <si>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</si>
  <si>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</si>
  <si>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</si>
  <si>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</si>
  <si>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</si>
  <si>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</si>
  <si>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</si>
  <si>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</si>
  <si>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</si>
  <si>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</si>
  <si>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</si>
  <si>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</si>
  <si>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</si>
  <si>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</si>
  <si>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</si>
  <si>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</si>
  <si>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</si>
  <si>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</si>
  <si>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</si>
  <si>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</si>
  <si>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</si>
  <si>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</si>
  <si>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</si>
  <si>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</si>
  <si>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</si>
  <si>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</si>
  <si>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</si>
  <si>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</si>
  <si>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</si>
  <si>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</si>
  <si>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</si>
  <si>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</si>
  <si>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</si>
  <si>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</si>
  <si>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</si>
  <si>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</si>
  <si>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</si>
  <si>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</si>
  <si>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</si>
  <si>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</si>
  <si>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</si>
  <si>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</si>
  <si>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</si>
  <si>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</si>
  <si>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</si>
  <si>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</si>
  <si>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</si>
  <si>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</si>
  <si>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</si>
  <si>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</si>
  <si>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</si>
  <si>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</si>
  <si>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</si>
  <si>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</si>
  <si>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</si>
  <si>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</si>
  <si>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</si>
  <si>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</si>
  <si>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</si>
  <si>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</si>
  <si>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</si>
  <si>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</si>
  <si>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</si>
  <si>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</si>
  <si>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</si>
  <si>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</si>
  <si>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</si>
  <si>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</si>
  <si>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</si>
  <si>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</si>
  <si>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</si>
  <si>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</si>
  <si>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</si>
  <si>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</si>
  <si>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</si>
  <si>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</si>
  <si>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</si>
  <si>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</si>
  <si>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</si>
  <si>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</si>
  <si>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</si>
  <si>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</si>
  <si>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</si>
  <si>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</si>
  <si>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</si>
  <si>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</si>
  <si>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</si>
  <si>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</si>
  <si>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</si>
  <si>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</si>
  <si>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</si>
  <si>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</si>
  <si>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</si>
  <si>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</si>
  <si>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</si>
  <si>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</si>
  <si>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</si>
  <si>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</si>
  <si>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</si>
  <si>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</si>
  <si>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</si>
  <si>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</si>
  <si>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</si>
  <si>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</si>
  <si>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</si>
  <si>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</si>
  <si>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</si>
  <si>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</si>
  <si>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</si>
  <si>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</si>
  <si>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</si>
  <si>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</si>
  <si>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</si>
  <si>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</si>
  <si>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</si>
  <si>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</si>
  <si>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</si>
  <si>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</si>
  <si>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</si>
  <si>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</si>
  <si>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</si>
  <si>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</si>
  <si>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</si>
  <si>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</si>
  <si>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</si>
  <si>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</si>
  <si>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</si>
  <si>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</si>
  <si>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</si>
  <si>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</si>
  <si>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</si>
  <si>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</si>
  <si>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</si>
  <si>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</si>
  <si>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</si>
  <si>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</si>
  <si>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</si>
  <si>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</si>
  <si>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</si>
  <si>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</si>
  <si>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</si>
  <si>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</si>
  <si>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</si>
  <si>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</si>
  <si>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</si>
  <si>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</si>
  <si>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</si>
  <si>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</si>
  <si>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</si>
  <si>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</si>
  <si>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</si>
  <si>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</si>
  <si>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</si>
  <si>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</si>
  <si>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</si>
  <si>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</si>
  <si>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</si>
  <si>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</si>
  <si>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</si>
  <si>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</si>
  <si>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</si>
  <si>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</si>
  <si>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</si>
  <si>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</si>
  <si>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</si>
  <si>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</si>
  <si>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</si>
  <si>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</si>
  <si>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</si>
  <si>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</si>
  <si>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</si>
  <si>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</si>
  <si>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</si>
  <si>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</si>
  <si>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</si>
  <si>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</si>
  <si>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</si>
  <si>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</si>
  <si>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</si>
  <si>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</si>
  <si>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</si>
  <si>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</si>
  <si>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</si>
  <si>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</si>
  <si>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</si>
  <si>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</si>
  <si>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</si>
  <si>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</si>
  <si>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</si>
  <si>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</si>
  <si>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</si>
  <si>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</si>
  <si>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</si>
  <si>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</si>
  <si>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</si>
  <si>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</si>
  <si>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</si>
  <si>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</si>
  <si>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</si>
  <si>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</si>
  <si>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</si>
  <si>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</si>
  <si>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</si>
  <si>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</si>
  <si>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</si>
  <si>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</si>
  <si>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</si>
  <si>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</si>
  <si>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</si>
  <si>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</si>
  <si>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</si>
  <si>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</si>
  <si>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</si>
  <si>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</si>
  <si>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</si>
  <si>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</si>
  <si>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</si>
  <si>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</si>
  <si>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</si>
  <si>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</si>
  <si>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</si>
  <si>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</si>
  <si>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</si>
  <si>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</si>
  <si>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</si>
  <si>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</si>
  <si>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</si>
  <si>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</si>
  <si>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</si>
  <si>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</si>
  <si>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</si>
  <si>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</si>
  <si>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</si>
  <si>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</si>
  <si>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</si>
  <si>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</si>
  <si>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</si>
  <si>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</si>
  <si>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</si>
  <si>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</si>
  <si>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</si>
  <si>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</si>
  <si>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</si>
  <si>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</si>
  <si>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</si>
  <si>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</si>
  <si>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</si>
  <si>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</si>
  <si>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</si>
  <si>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</si>
  <si>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</si>
  <si>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</si>
  <si>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</si>
  <si>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</si>
  <si>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</si>
  <si>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</si>
  <si>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</si>
  <si>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</si>
  <si>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</si>
  <si>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</si>
  <si>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</si>
  <si>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</si>
  <si>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</si>
  <si>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</si>
  <si>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</si>
  <si>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</si>
  <si>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</si>
  <si>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</si>
  <si>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</si>
  <si>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</si>
  <si>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</si>
  <si>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</si>
  <si>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</si>
  <si>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</si>
  <si>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</si>
  <si>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</si>
  <si>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</si>
  <si>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</si>
  <si>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</si>
  <si>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</si>
  <si>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</si>
  <si>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</si>
  <si>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</si>
  <si>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</si>
  <si>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</si>
  <si>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</si>
  <si>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</si>
  <si>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</si>
  <si>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</si>
  <si>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</si>
  <si>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</si>
  <si>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</si>
  <si>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</si>
  <si>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</si>
  <si>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</si>
  <si>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</si>
  <si>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</si>
  <si>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</si>
  <si>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</si>
  <si>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</si>
  <si>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</si>
  <si>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</si>
  <si>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</si>
  <si>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</si>
  <si>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</si>
  <si>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</si>
  <si>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</si>
  <si>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</si>
  <si>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</si>
  <si>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</si>
  <si>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</si>
  <si>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</si>
  <si>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</si>
  <si>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</si>
  <si>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</si>
  <si>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</si>
  <si>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</si>
  <si>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</si>
  <si>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</si>
  <si>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</si>
  <si>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</si>
  <si>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</si>
  <si>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</si>
  <si>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</si>
  <si>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</si>
  <si>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</si>
  <si>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</si>
  <si>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</si>
  <si>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</si>
  <si>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</si>
  <si>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</si>
  <si>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</si>
  <si>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</si>
  <si>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</si>
  <si>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</si>
  <si>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</si>
  <si>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</si>
  <si>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</si>
  <si>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</si>
  <si>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</si>
  <si>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</si>
  <si>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</si>
  <si>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</si>
  <si>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</si>
  <si>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</si>
  <si>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</si>
  <si>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</si>
  <si>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</si>
  <si>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</si>
  <si>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</si>
  <si>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</si>
  <si>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</si>
  <si>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</si>
  <si>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</si>
  <si>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</si>
  <si>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</si>
  <si>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</si>
  <si>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</si>
  <si>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</si>
  <si>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</si>
  <si>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</si>
  <si>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</si>
  <si>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</si>
  <si>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</si>
  <si>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</si>
  <si>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</si>
  <si>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</si>
  <si>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</si>
  <si>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</si>
  <si>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</si>
  <si>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</si>
  <si>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</si>
  <si>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</si>
  <si>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</si>
  <si>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</si>
  <si>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</si>
  <si>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</si>
  <si>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</si>
  <si>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</si>
  <si>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</si>
  <si>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</si>
  <si>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</si>
  <si>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</si>
  <si>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</si>
  <si>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</si>
  <si>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</si>
  <si>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</si>
  <si>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</si>
  <si>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</si>
  <si>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</si>
  <si>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</si>
  <si>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</si>
  <si>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</si>
  <si>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</si>
  <si>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</si>
  <si>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</si>
  <si>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</si>
  <si>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</si>
  <si>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</si>
  <si>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</si>
  <si>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</si>
  <si>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</si>
  <si>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</si>
  <si>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</si>
  <si>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</si>
  <si>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</si>
  <si>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</si>
  <si>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</si>
  <si>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</si>
  <si>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</si>
  <si>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</si>
  <si>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</si>
  <si>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</si>
  <si>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</si>
  <si>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</si>
  <si>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</si>
  <si>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</si>
  <si>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</si>
  <si>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</si>
  <si>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</si>
  <si>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</si>
  <si>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</si>
  <si>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</si>
  <si>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</si>
  <si>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</si>
  <si>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</si>
  <si>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</si>
  <si>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</si>
  <si>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</si>
  <si>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</si>
  <si>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</si>
  <si>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</si>
  <si>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</si>
  <si>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</si>
  <si>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</si>
  <si>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</si>
  <si>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</si>
  <si>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</si>
  <si>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</si>
  <si>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</si>
  <si>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</si>
  <si>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</si>
  <si>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</si>
  <si>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</si>
  <si>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</si>
  <si>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</si>
  <si>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</si>
  <si>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</si>
  <si>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</si>
  <si>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</si>
  <si>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</si>
  <si>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</si>
  <si>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</si>
  <si>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</si>
  <si>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</si>
  <si>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</si>
  <si>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</si>
  <si>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</si>
  <si>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</si>
  <si>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</si>
  <si>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</si>
  <si>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</si>
  <si>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</si>
  <si>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</si>
  <si>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</si>
  <si>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</si>
  <si>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</si>
  <si>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</si>
  <si>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</si>
  <si>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</si>
  <si>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</si>
  <si>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</si>
  <si>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</si>
  <si>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</si>
  <si>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</si>
  <si>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</si>
  <si>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</si>
  <si>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</si>
  <si>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</si>
  <si>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</si>
  <si>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</si>
  <si>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</si>
  <si>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</si>
  <si>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</si>
  <si>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</si>
  <si>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</si>
  <si>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</si>
  <si>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</si>
  <si>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</si>
  <si>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</si>
  <si>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</si>
  <si>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</si>
  <si>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</si>
  <si>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</si>
  <si>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</si>
  <si>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</si>
  <si>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</si>
  <si>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</si>
  <si>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</si>
  <si>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</si>
  <si>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</si>
  <si>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</si>
  <si>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</si>
  <si>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</si>
  <si>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</si>
  <si>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</si>
  <si>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</si>
  <si>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</si>
  <si>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</si>
  <si>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</si>
  <si>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</si>
  <si>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</si>
  <si>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</si>
  <si>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</si>
  <si>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</si>
  <si>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</si>
  <si>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</si>
  <si>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</si>
  <si>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</si>
  <si>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</si>
  <si>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</si>
  <si>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</si>
  <si>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</si>
  <si>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</si>
  <si>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</si>
  <si>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</si>
  <si>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</si>
  <si>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</si>
  <si>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</si>
  <si>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</si>
  <si>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</si>
  <si>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</si>
  <si>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</si>
  <si>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</si>
  <si>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</si>
  <si>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</si>
  <si>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</si>
  <si>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</si>
  <si>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</si>
  <si>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</si>
  <si>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</si>
  <si>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</si>
  <si>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</si>
  <si>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</si>
  <si>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</si>
  <si>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</si>
  <si>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</si>
  <si>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</si>
  <si>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</si>
  <si>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</si>
  <si>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</si>
  <si>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</si>
  <si>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</si>
  <si>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</si>
  <si>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</si>
  <si>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</si>
  <si>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</si>
  <si>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</si>
  <si>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</si>
  <si>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</si>
  <si>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</si>
  <si>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</si>
  <si>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</si>
  <si>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</si>
  <si>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</si>
  <si>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</si>
  <si>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</si>
  <si>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</si>
  <si>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</si>
  <si>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</si>
  <si>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</si>
  <si>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</si>
  <si>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</si>
  <si>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</si>
  <si>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</si>
  <si>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</si>
  <si>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</si>
  <si>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</si>
  <si>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</si>
  <si>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</si>
  <si>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</si>
  <si>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</si>
  <si>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</si>
  <si>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</si>
  <si>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</si>
  <si>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</si>
  <si>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</si>
  <si>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</si>
  <si>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</si>
  <si>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</si>
  <si>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</si>
  <si>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</si>
  <si>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</si>
  <si>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</si>
  <si>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</si>
  <si>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</si>
  <si>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</si>
  <si>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</si>
  <si>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</si>
  <si>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</si>
  <si>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</si>
  <si>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</si>
  <si>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</si>
  <si>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</si>
  <si>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</si>
  <si>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</si>
  <si>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</si>
  <si>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</si>
  <si>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</si>
  <si>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</si>
  <si>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</si>
  <si>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</si>
  <si>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</si>
  <si>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</si>
  <si>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</si>
  <si>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</si>
  <si>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</si>
  <si>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</si>
  <si>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</si>
  <si>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</si>
  <si>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</si>
  <si>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</si>
  <si>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</si>
  <si>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</si>
  <si>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</si>
  <si>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</si>
  <si>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</si>
  <si>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</si>
  <si>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</si>
  <si>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</si>
  <si>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</si>
  <si>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</si>
  <si>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</si>
  <si>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</si>
  <si>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</si>
  <si>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</si>
  <si>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</si>
  <si>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</si>
  <si>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</si>
  <si>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</si>
  <si>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</si>
  <si>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</si>
  <si>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</si>
  <si>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</si>
  <si>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</si>
  <si>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</si>
  <si>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</si>
  <si>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</si>
  <si>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</si>
  <si>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</si>
  <si>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</si>
  <si>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</si>
  <si>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</si>
  <si>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</si>
  <si>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</si>
  <si>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</si>
  <si>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</si>
  <si>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</si>
  <si>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</si>
  <si>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</si>
  <si>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</si>
  <si>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</si>
  <si>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</si>
  <si>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</si>
  <si>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</si>
  <si>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</si>
  <si>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</si>
  <si>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</si>
  <si>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</si>
  <si>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</si>
  <si>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</si>
  <si>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</si>
  <si>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</si>
  <si>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</si>
  <si>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</si>
  <si>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</si>
  <si>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</si>
  <si>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</si>
  <si>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</si>
  <si>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</si>
  <si>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</si>
  <si>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</si>
  <si>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</si>
  <si>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</si>
  <si>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</si>
  <si>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</si>
  <si>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</si>
  <si>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</si>
  <si>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</si>
  <si>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</si>
  <si>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</si>
  <si>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</si>
  <si>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</si>
  <si>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</si>
  <si>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</si>
  <si>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</si>
  <si>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</si>
  <si>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</si>
  <si>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</si>
  <si>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</si>
  <si>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</si>
  <si>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</si>
  <si>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</si>
  <si>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</si>
  <si>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</si>
  <si>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</si>
  <si>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</si>
  <si>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</si>
  <si>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</si>
  <si>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</si>
  <si>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</si>
  <si>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</si>
  <si>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</si>
  <si>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</si>
  <si>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</si>
  <si>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</si>
  <si>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</si>
  <si>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</si>
  <si>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</si>
  <si>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</si>
  <si>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</si>
  <si>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</si>
  <si>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</si>
  <si>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</si>
  <si>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</si>
  <si>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</si>
  <si>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</si>
  <si>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</si>
  <si>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</si>
  <si>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</si>
  <si>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</si>
  <si>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</si>
  <si>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</si>
  <si>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</si>
  <si>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</si>
  <si>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</si>
  <si>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</si>
  <si>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</si>
  <si>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</si>
  <si>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</si>
  <si>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</si>
  <si>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</si>
  <si>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</si>
  <si>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</si>
  <si>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</si>
  <si>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</si>
  <si>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</si>
  <si>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</si>
  <si>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</si>
  <si>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</si>
  <si>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</si>
  <si>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</si>
  <si>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</si>
  <si>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</si>
  <si>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</si>
  <si>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</si>
  <si>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</si>
  <si>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</si>
  <si>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</si>
  <si>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</si>
  <si>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</si>
  <si>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</si>
  <si>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</si>
  <si>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</si>
  <si>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</si>
  <si>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</si>
  <si>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</si>
  <si>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</si>
  <si>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</si>
  <si>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</si>
  <si>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</si>
  <si>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</si>
  <si>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</si>
  <si>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</si>
  <si>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</si>
  <si>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</si>
  <si>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</si>
  <si>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</si>
  <si>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</si>
  <si>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</si>
  <si>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</si>
  <si>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</si>
  <si>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</si>
  <si>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</si>
  <si>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</si>
  <si>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</si>
  <si>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</si>
  <si>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</si>
  <si>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</si>
  <si>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</si>
  <si>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</si>
  <si>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</si>
  <si>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</si>
  <si>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</si>
  <si>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</si>
  <si>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</si>
  <si>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</si>
  <si>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</si>
  <si>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</si>
  <si>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</si>
  <si>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</si>
  <si>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</si>
  <si>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</si>
  <si>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</si>
  <si>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</si>
  <si>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</si>
  <si>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</si>
  <si>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</si>
  <si>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</si>
  <si>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</si>
  <si>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</si>
  <si>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</si>
  <si>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</si>
  <si>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</si>
  <si>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</si>
  <si>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</si>
  <si>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</si>
  <si>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</si>
  <si>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</si>
  <si>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</si>
  <si>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</si>
  <si>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</si>
  <si>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</si>
  <si>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</si>
  <si>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</si>
  <si>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</si>
  <si>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</si>
  <si>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</si>
  <si>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</si>
  <si>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</si>
  <si>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</si>
  <si>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</si>
  <si>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</si>
  <si>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</si>
  <si>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</si>
  <si>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</si>
  <si>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</si>
  <si>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</si>
  <si>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</si>
  <si>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</si>
  <si>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</si>
  <si>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</si>
  <si>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</si>
  <si>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</si>
  <si>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</si>
  <si>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</si>
  <si>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</si>
  <si>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</si>
  <si>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</si>
  <si>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</si>
  <si>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</si>
  <si>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</si>
  <si>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</si>
  <si>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</si>
  <si>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</si>
  <si>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</si>
  <si>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</si>
  <si>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</si>
  <si>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</si>
  <si>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</si>
  <si>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</si>
  <si>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</si>
  <si>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</si>
  <si>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</si>
  <si>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</si>
  <si>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</si>
  <si>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</si>
  <si>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</si>
  <si>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</si>
  <si>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</si>
  <si>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</si>
  <si>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</si>
  <si>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</si>
  <si>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</si>
  <si>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</si>
  <si>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</si>
  <si>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</si>
  <si>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</si>
  <si>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</si>
  <si>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</si>
  <si>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</si>
  <si>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</si>
  <si>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</si>
  <si>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</si>
  <si>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</si>
  <si>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</si>
  <si>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</si>
  <si>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</si>
  <si>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</si>
  <si>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</si>
  <si>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</si>
  <si>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</si>
  <si>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</si>
  <si>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</si>
  <si>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</si>
  <si>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</si>
  <si>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</si>
  <si>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</si>
  <si>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</si>
  <si>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</si>
  <si>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</si>
  <si>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</si>
  <si>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</si>
  <si>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</si>
  <si>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</si>
  <si>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</si>
  <si>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</si>
  <si>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</si>
  <si>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</si>
  <si>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</si>
  <si>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</si>
  <si>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</si>
  <si>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</si>
  <si>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</si>
  <si>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</si>
  <si>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</si>
  <si>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</si>
  <si>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</si>
  <si>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</si>
  <si>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</si>
  <si>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</si>
  <si>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</si>
  <si>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</si>
  <si>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</si>
  <si>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</si>
  <si>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</si>
  <si>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</si>
  <si>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</si>
  <si>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</si>
  <si>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</si>
  <si>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</si>
  <si>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</si>
  <si>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</si>
  <si>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</si>
  <si>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</si>
  <si>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</si>
  <si>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</si>
  <si>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</si>
  <si>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</si>
  <si>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</si>
  <si>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</si>
  <si>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</si>
  <si>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</si>
  <si>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</si>
  <si>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</si>
  <si>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</si>
  <si>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</si>
  <si>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</si>
  <si>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</si>
  <si>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</si>
  <si>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</si>
  <si>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</si>
  <si>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</si>
  <si>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</si>
  <si>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</si>
  <si>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</si>
  <si>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</si>
  <si>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</si>
  <si>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</si>
  <si>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</si>
  <si>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</si>
  <si>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</si>
  <si>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</si>
  <si>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</si>
  <si>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</si>
  <si>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</si>
  <si>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</si>
  <si>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</si>
  <si>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</si>
  <si>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</si>
  <si>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</si>
  <si>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</si>
  <si>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</si>
  <si>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</si>
  <si>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</si>
  <si>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</si>
  <si>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</si>
  <si>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</si>
  <si>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</si>
  <si>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</si>
  <si>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</si>
  <si>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</si>
  <si>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</si>
  <si>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</si>
  <si>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</si>
  <si>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</si>
  <si>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</si>
  <si>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</si>
  <si>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</si>
  <si>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</si>
  <si>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</si>
  <si>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</si>
  <si>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</si>
  <si>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</si>
  <si>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</si>
  <si>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</si>
  <si>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</si>
  <si>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</si>
  <si>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</si>
  <si>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</si>
  <si>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</si>
  <si>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</si>
  <si>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</si>
  <si>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</si>
  <si>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</si>
  <si>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</si>
  <si>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</si>
  <si>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</si>
  <si>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</si>
  <si>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</si>
  <si>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</si>
  <si>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</si>
  <si>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</si>
  <si>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</si>
  <si>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</si>
  <si>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</si>
  <si>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</si>
  <si>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</si>
  <si>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</si>
  <si>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</si>
  <si>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</si>
  <si>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</si>
  <si>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</si>
  <si>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</si>
  <si>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</si>
  <si>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</si>
  <si>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</si>
  <si>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</si>
  <si>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</si>
  <si>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</si>
  <si>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</si>
  <si>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</si>
  <si>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</si>
  <si>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</si>
  <si>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</si>
  <si>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</si>
  <si>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</si>
  <si>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</si>
  <si>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</si>
  <si>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</si>
  <si>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</si>
  <si>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</si>
  <si>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</si>
  <si>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</si>
  <si>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</si>
  <si>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</si>
  <si>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</si>
  <si>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</si>
  <si>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</si>
  <si>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</si>
  <si>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</si>
  <si>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</si>
  <si>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</si>
  <si>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</si>
  <si>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</si>
  <si>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</si>
  <si>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</si>
  <si>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</si>
  <si>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</si>
  <si>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</si>
  <si>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</si>
  <si>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</si>
  <si>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</si>
  <si>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</si>
  <si>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</si>
  <si>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</si>
  <si>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</si>
  <si>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</si>
  <si>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</si>
  <si>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</si>
  <si>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</si>
  <si>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</si>
  <si>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</si>
  <si>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</si>
  <si>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</si>
  <si>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</si>
  <si>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</si>
  <si>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</si>
  <si>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</si>
  <si>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</si>
  <si>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</si>
  <si>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</si>
  <si>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</si>
  <si>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</si>
  <si>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</si>
  <si>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</si>
  <si>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</si>
  <si>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</si>
  <si>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</si>
  <si>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</si>
  <si>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</si>
  <si>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</si>
  <si>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</si>
  <si>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</si>
  <si>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</si>
  <si>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</si>
  <si>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</si>
  <si>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</si>
  <si>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</si>
  <si>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</si>
  <si>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</si>
  <si>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</si>
  <si>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</si>
  <si>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</si>
  <si>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</si>
  <si>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</si>
  <si>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</si>
  <si>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</si>
  <si>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</si>
  <si>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</si>
  <si>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</si>
  <si>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</si>
  <si>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</si>
  <si>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</si>
  <si>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</si>
  <si>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</si>
  <si>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</si>
  <si>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</si>
  <si>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</si>
  <si>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</si>
  <si>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</si>
  <si>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</si>
  <si>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</si>
  <si>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</si>
  <si>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</si>
  <si>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</si>
  <si>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</si>
  <si>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</si>
  <si>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</si>
  <si>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</si>
  <si>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</si>
  <si>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</si>
  <si>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</si>
  <si>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</si>
  <si>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</si>
  <si>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</si>
  <si>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</si>
  <si>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</si>
  <si>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</si>
  <si>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</si>
  <si>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</si>
  <si>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</si>
  <si>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</si>
  <si>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</si>
  <si>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</si>
  <si>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</si>
  <si>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</si>
  <si>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</si>
  <si>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</si>
  <si>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</si>
  <si>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</si>
  <si>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</si>
  <si>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</si>
  <si>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</si>
  <si>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</si>
  <si>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</si>
  <si>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</si>
  <si>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</si>
  <si>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</si>
  <si>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</si>
  <si>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</si>
  <si>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</si>
  <si>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</si>
  <si>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</si>
  <si>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</si>
  <si>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</si>
  <si>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</si>
  <si>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</si>
  <si>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</si>
  <si>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</si>
  <si>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</si>
  <si>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</si>
  <si>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</si>
  <si>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</si>
  <si>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</si>
  <si>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</si>
  <si>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</si>
  <si>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</si>
  <si>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</si>
  <si>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</si>
  <si>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</si>
  <si>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</si>
  <si>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</si>
  <si>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</si>
  <si>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</si>
  <si>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</si>
  <si>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</si>
  <si>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</si>
  <si>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</si>
  <si>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</si>
  <si>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</si>
  <si>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</si>
  <si>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</si>
  <si>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</si>
  <si>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</si>
  <si>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</si>
  <si>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</si>
  <si>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</si>
  <si>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</si>
  <si>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</si>
  <si>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</si>
  <si>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</si>
  <si>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</si>
  <si>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</si>
  <si>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</si>
  <si>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</si>
  <si>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</si>
  <si>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</si>
  <si>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</si>
  <si>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</si>
  <si>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</si>
  <si>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</si>
  <si>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</si>
  <si>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</si>
  <si>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</si>
  <si>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</si>
  <si>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</si>
  <si>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</si>
  <si>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</si>
  <si>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</si>
  <si>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</si>
  <si>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</si>
  <si>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</si>
  <si>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</si>
  <si>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</si>
  <si>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</si>
  <si>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</si>
  <si>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</si>
  <si>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</si>
  <si>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</si>
  <si>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</si>
  <si>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</si>
  <si>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</si>
  <si>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</si>
  <si>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</si>
  <si>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</si>
  <si>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</si>
  <si>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</si>
  <si>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</si>
  <si>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</si>
  <si>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</si>
  <si>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</si>
  <si>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</si>
  <si>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</si>
  <si>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</si>
  <si>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</si>
  <si>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</si>
  <si>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</si>
  <si>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</si>
  <si>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</si>
  <si>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</si>
  <si>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</si>
  <si>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</si>
  <si>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</si>
  <si>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</si>
  <si>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</si>
  <si>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</si>
  <si>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</si>
  <si>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</si>
  <si>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</si>
  <si>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</si>
  <si>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</si>
  <si>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</si>
  <si>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</si>
  <si>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</si>
  <si>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</si>
  <si>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</si>
  <si>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</si>
  <si>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</si>
  <si>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</si>
  <si>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</si>
  <si>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</si>
  <si>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</si>
  <si>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</si>
  <si>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</si>
  <si>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</si>
  <si>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</si>
  <si>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</si>
  <si>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</si>
  <si>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</si>
  <si>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</si>
  <si>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</si>
  <si>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</si>
  <si>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</si>
  <si>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</si>
  <si>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</si>
  <si>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</si>
  <si>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</si>
  <si>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</si>
  <si>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</si>
  <si>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</si>
  <si>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</si>
  <si>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</si>
  <si>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</si>
  <si>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</si>
  <si>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</si>
  <si>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</si>
  <si>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</si>
  <si>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</si>
  <si>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</si>
  <si>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</si>
  <si>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</si>
  <si>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</si>
  <si>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</si>
  <si>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</si>
  <si>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</si>
  <si>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</si>
  <si>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</si>
  <si>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</si>
  <si>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</si>
  <si>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</si>
  <si>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</si>
  <si>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</si>
  <si>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</si>
  <si>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</si>
  <si>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</si>
  <si>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</si>
  <si>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</si>
  <si>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</si>
  <si>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</si>
  <si>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</si>
  <si>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</si>
  <si>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</si>
  <si>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</si>
  <si>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</si>
  <si>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</si>
  <si>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</si>
  <si>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</si>
  <si>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</si>
  <si>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</si>
  <si>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</si>
  <si>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</si>
  <si>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</si>
  <si>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</si>
  <si>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</si>
  <si>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</si>
  <si>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</si>
  <si>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</si>
  <si>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</si>
  <si>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</si>
  <si>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</si>
  <si>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</si>
  <si>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</si>
  <si>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</si>
  <si>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</si>
  <si>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</si>
  <si>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</si>
  <si>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</si>
  <si>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</si>
  <si>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</si>
  <si>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</si>
  <si>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</si>
  <si>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</si>
  <si>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</si>
  <si>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</si>
  <si>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</si>
  <si>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</si>
  <si>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</si>
  <si>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</si>
  <si>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</si>
  <si>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</si>
  <si>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</si>
  <si>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</si>
  <si>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</si>
  <si>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</si>
  <si>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</si>
  <si>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</si>
  <si>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</si>
  <si>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</si>
  <si>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</si>
  <si>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</si>
  <si>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</si>
  <si>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</si>
  <si>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</si>
  <si>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</si>
  <si>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</si>
  <si>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</si>
  <si>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</si>
  <si>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</si>
  <si>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</si>
  <si>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</si>
  <si>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</si>
  <si>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</si>
  <si>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</si>
  <si>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</si>
  <si>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</si>
  <si>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</si>
  <si>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</si>
  <si>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</si>
  <si>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</si>
  <si>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</si>
  <si>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</si>
  <si>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</si>
  <si>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</si>
  <si>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</si>
  <si>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</si>
  <si>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</si>
  <si>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</si>
  <si>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</si>
  <si>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</si>
  <si>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</si>
  <si>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</si>
  <si>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</si>
  <si>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</si>
  <si>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</si>
  <si>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</si>
  <si>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</si>
  <si>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</si>
  <si>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</si>
  <si>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</si>
  <si>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</si>
  <si>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</si>
  <si>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</si>
  <si>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</si>
  <si>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</si>
  <si>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</si>
  <si>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</si>
  <si>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</si>
  <si>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</si>
  <si>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</si>
  <si>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</si>
  <si>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</si>
  <si>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</si>
  <si>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</si>
  <si>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</si>
  <si>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</si>
  <si>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</si>
  <si>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</si>
  <si>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</si>
  <si>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</si>
  <si>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</si>
  <si>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</si>
  <si>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</si>
  <si>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</si>
  <si>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</si>
  <si>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</si>
  <si>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</si>
  <si>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</si>
  <si>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</si>
  <si>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</si>
  <si>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</si>
  <si>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</si>
  <si>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</si>
  <si>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</si>
  <si>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</si>
  <si>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</si>
  <si>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</si>
  <si>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</si>
  <si>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</si>
  <si>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</si>
  <si>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</si>
  <si>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</si>
  <si>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</si>
  <si>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</si>
  <si>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</si>
  <si>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</si>
  <si>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</si>
  <si>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</si>
  <si>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</si>
  <si>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</si>
  <si>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</si>
  <si>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</si>
  <si>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</si>
  <si>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</si>
  <si>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</si>
  <si>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</si>
  <si>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</si>
  <si>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</si>
  <si>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</si>
  <si>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</si>
  <si>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</si>
  <si>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</si>
  <si>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</si>
  <si>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</si>
  <si>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</si>
  <si>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</si>
  <si>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</si>
  <si>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</si>
  <si>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</si>
  <si>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</si>
  <si>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</si>
  <si>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</si>
  <si>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</si>
  <si>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</si>
  <si>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</si>
  <si>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</si>
  <si>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</si>
  <si>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</si>
  <si>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</si>
  <si>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</si>
  <si>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</si>
  <si>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</si>
  <si>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</si>
  <si>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</si>
  <si>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</si>
  <si>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</si>
  <si>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</si>
  <si>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</si>
  <si>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</si>
  <si>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</si>
  <si>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</si>
  <si>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</si>
  <si>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</si>
  <si>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</si>
  <si>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</si>
  <si>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</si>
  <si>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</si>
  <si>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</si>
  <si>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</si>
  <si>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</si>
  <si>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</si>
  <si>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</si>
  <si>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</si>
  <si>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</si>
  <si>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</si>
  <si>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</si>
  <si>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</si>
  <si>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</si>
  <si>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</si>
  <si>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</si>
  <si>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</si>
  <si>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</si>
  <si>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</si>
  <si>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</si>
  <si>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</si>
  <si>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</si>
  <si>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</si>
  <si>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</si>
  <si>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</si>
  <si>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</si>
  <si>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</si>
  <si>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</si>
  <si>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</si>
  <si>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</si>
  <si>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</si>
  <si>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</si>
  <si>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</si>
  <si>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</si>
  <si>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</si>
  <si>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</si>
  <si>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</si>
  <si>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</si>
  <si>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</si>
  <si>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</si>
  <si>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</si>
  <si>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</si>
  <si>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</si>
  <si>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</si>
  <si>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</si>
  <si>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</si>
  <si>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</si>
  <si>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</si>
  <si>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</si>
  <si>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</si>
  <si>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</si>
  <si>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</si>
  <si>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</si>
  <si>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</si>
  <si>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</si>
  <si>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</si>
  <si>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</si>
  <si>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</si>
  <si>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</si>
  <si>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</si>
  <si>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</si>
  <si>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</si>
  <si>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</si>
  <si>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</si>
  <si>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</si>
  <si>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</si>
  <si>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</si>
  <si>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</si>
  <si>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</si>
  <si>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</si>
  <si>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</si>
  <si>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</si>
  <si>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</si>
  <si>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</si>
  <si>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</si>
  <si>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</si>
  <si>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</si>
  <si>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</si>
  <si>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</si>
  <si>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</si>
  <si>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</si>
  <si>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</si>
  <si>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</si>
  <si>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</si>
  <si>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</si>
  <si>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</si>
  <si>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</si>
  <si>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</si>
  <si>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</si>
  <si>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</si>
  <si>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</si>
  <si>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</si>
  <si>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</si>
  <si>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</si>
  <si>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</si>
  <si>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</si>
  <si>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</si>
  <si>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</si>
  <si>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</si>
  <si>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</si>
  <si>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</si>
  <si>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</si>
  <si>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</si>
  <si>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</si>
  <si>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</si>
  <si>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</si>
  <si>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</si>
  <si>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</si>
  <si>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</si>
  <si>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</si>
  <si>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</si>
  <si>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</si>
  <si>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</si>
  <si>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</si>
  <si>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</si>
  <si>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</si>
  <si>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</si>
  <si>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</si>
  <si>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</si>
  <si>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</si>
  <si>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</si>
  <si>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</si>
  <si>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</si>
  <si>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</si>
  <si>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</si>
  <si>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</si>
  <si>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</si>
  <si>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</si>
  <si>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</si>
  <si>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</si>
  <si>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</si>
  <si>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</si>
  <si>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</si>
  <si>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</si>
  <si>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</si>
  <si>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</si>
  <si>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</si>
  <si>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</si>
  <si>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</si>
  <si>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</si>
  <si>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</si>
  <si>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</si>
  <si>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</si>
  <si>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</si>
  <si>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</si>
  <si>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</si>
  <si>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</si>
  <si>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</si>
  <si>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</si>
  <si>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</si>
  <si>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</si>
  <si>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</si>
  <si>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</si>
  <si>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</si>
  <si>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</si>
  <si>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</si>
  <si>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</si>
  <si>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</si>
  <si>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</si>
  <si>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</si>
  <si>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</si>
  <si>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</si>
  <si>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</si>
  <si>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</si>
  <si>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</si>
  <si>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</si>
  <si>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</si>
  <si>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</si>
  <si>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</si>
  <si>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</si>
  <si>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</si>
  <si>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</si>
  <si>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</si>
  <si>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</si>
  <si>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</si>
  <si>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</si>
  <si>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</si>
  <si>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</si>
  <si>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</si>
  <si>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</si>
  <si>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</si>
  <si>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</si>
  <si>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</si>
  <si>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</si>
  <si>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</si>
  <si>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</si>
  <si>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</si>
  <si>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</si>
  <si>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</si>
  <si>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</si>
  <si>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</si>
  <si>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</si>
  <si>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</si>
  <si>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</si>
  <si>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</si>
  <si>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</si>
  <si>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</si>
  <si>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</si>
  <si>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</si>
  <si>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</si>
  <si>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</si>
  <si>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</si>
  <si>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</si>
  <si>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</si>
  <si>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</si>
  <si>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</si>
  <si>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</si>
  <si>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</si>
  <si>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</si>
  <si>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</si>
  <si>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</si>
  <si>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</si>
  <si>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</si>
  <si>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</si>
  <si>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</si>
  <si>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</si>
  <si>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</si>
  <si>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</si>
  <si>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</si>
  <si>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</si>
  <si>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</si>
  <si>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</si>
  <si>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</si>
  <si>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</si>
  <si>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</si>
  <si>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</si>
  <si>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</si>
  <si>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</si>
  <si>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</si>
  <si>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</si>
  <si>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</si>
  <si>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</si>
  <si>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</si>
  <si>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</si>
  <si>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</si>
  <si>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</si>
  <si>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</si>
  <si>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</si>
  <si>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</si>
  <si>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</si>
  <si>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</si>
  <si>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</si>
  <si>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</si>
  <si>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</si>
  <si>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</si>
  <si>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</si>
  <si>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</si>
  <si>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</si>
  <si>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</si>
  <si>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</si>
  <si>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</si>
  <si>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</si>
  <si>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</si>
  <si>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</si>
  <si>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</si>
  <si>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</si>
  <si>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</si>
  <si>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</si>
  <si>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</si>
  <si>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</si>
  <si>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</si>
  <si>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</si>
  <si>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</si>
  <si>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</si>
  <si>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</si>
  <si>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</si>
  <si>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</si>
  <si>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</si>
  <si>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</si>
  <si>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</si>
  <si>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</si>
  <si>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</si>
  <si>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</si>
  <si>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</si>
  <si>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</si>
  <si>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</si>
  <si>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</si>
  <si>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</si>
  <si>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</si>
  <si>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</si>
  <si>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</si>
  <si>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</si>
  <si>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</si>
  <si>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</si>
  <si>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</si>
  <si>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</si>
  <si>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</si>
  <si>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</si>
  <si>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</si>
  <si>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</si>
  <si>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</si>
  <si>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</si>
  <si>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</si>
  <si>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</si>
  <si>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</si>
  <si>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</si>
  <si>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</si>
  <si>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</si>
  <si>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</si>
  <si>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</si>
  <si>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</si>
  <si>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</si>
  <si>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</si>
  <si>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</si>
  <si>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</si>
  <si>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</si>
  <si>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</si>
  <si>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</si>
  <si>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</si>
  <si>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</si>
  <si>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</si>
  <si>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</si>
  <si>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</si>
  <si>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</si>
  <si>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</si>
  <si>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</si>
  <si>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</si>
  <si>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</si>
  <si>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</si>
  <si>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</si>
  <si>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</si>
  <si>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</si>
  <si>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</si>
  <si>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</si>
  <si>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</si>
  <si>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</si>
  <si>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</si>
  <si>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</si>
  <si>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</si>
  <si>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</si>
  <si>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</si>
  <si>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</si>
  <si>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</si>
  <si>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</si>
  <si>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</si>
  <si>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</si>
  <si>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</si>
  <si>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</si>
  <si>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</si>
  <si>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</si>
  <si>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</si>
  <si>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</si>
  <si>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</si>
  <si>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</si>
  <si>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</si>
  <si>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</si>
  <si>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</si>
  <si>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</si>
  <si>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</si>
  <si>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</si>
  <si>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</si>
  <si>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</si>
  <si>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</si>
  <si>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</si>
  <si>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</si>
  <si>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</si>
  <si>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</si>
  <si>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</si>
  <si>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</si>
  <si>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</si>
  <si>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</si>
  <si>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</si>
  <si>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</si>
  <si>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</si>
  <si>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</si>
  <si>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</si>
  <si>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</si>
  <si>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</si>
  <si>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</si>
  <si>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</si>
  <si>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</si>
  <si>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</si>
  <si>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</si>
  <si>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</si>
  <si>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</si>
  <si>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</si>
  <si>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</si>
  <si>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</si>
  <si>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</si>
  <si>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</si>
  <si>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</si>
  <si>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</si>
  <si>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</si>
  <si>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</si>
  <si>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</si>
  <si>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</si>
  <si>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</si>
  <si>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</si>
  <si>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</si>
  <si>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</si>
  <si>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</si>
  <si>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</si>
  <si>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</si>
  <si>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</si>
  <si>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</si>
  <si>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</si>
  <si>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</si>
  <si>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</si>
  <si>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</si>
  <si>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</si>
  <si>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</si>
  <si>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</si>
  <si>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</si>
  <si>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</si>
  <si>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</si>
  <si>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</si>
  <si>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</si>
  <si>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</si>
  <si>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</si>
  <si>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</si>
  <si>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</si>
  <si>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</si>
  <si>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</si>
  <si>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</si>
  <si>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</si>
  <si>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</si>
  <si>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</si>
  <si>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</si>
  <si>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</si>
  <si>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</si>
  <si>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</si>
  <si>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</si>
  <si>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</si>
  <si>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</si>
  <si>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</si>
  <si>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</si>
  <si>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</si>
  <si>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</si>
  <si>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</si>
  <si>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</si>
  <si>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</si>
  <si>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</si>
  <si>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</si>
  <si>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</si>
  <si>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</si>
  <si>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</si>
  <si>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</si>
  <si>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</si>
  <si>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</si>
  <si>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</si>
  <si>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</si>
  <si>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</si>
  <si>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</si>
  <si>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</si>
  <si>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</si>
  <si>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</si>
  <si>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</si>
  <si>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</si>
  <si>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</si>
  <si>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</si>
  <si>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</si>
  <si>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</si>
  <si>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</si>
  <si>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</si>
  <si>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</si>
  <si>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</si>
  <si>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</si>
  <si>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</si>
  <si>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</si>
  <si>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</si>
  <si>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</si>
  <si>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</si>
  <si>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</si>
  <si>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</si>
  <si>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</si>
  <si>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</si>
  <si>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</si>
  <si>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</si>
  <si>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</si>
  <si>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</si>
  <si>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</si>
  <si>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</si>
  <si>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</si>
  <si>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</si>
  <si>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</si>
  <si>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</si>
  <si>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</si>
  <si>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</si>
  <si>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</si>
  <si>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</si>
  <si>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</si>
  <si>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</si>
  <si>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</si>
  <si>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</si>
  <si>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</si>
  <si>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</si>
  <si>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</si>
  <si>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</si>
  <si>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</si>
  <si>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</si>
  <si>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</si>
  <si>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</si>
  <si>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</si>
  <si>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</si>
  <si>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</si>
  <si>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</si>
  <si>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</si>
  <si>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</si>
  <si>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</si>
  <si>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</si>
  <si>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</si>
  <si>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</si>
  <si>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</si>
  <si>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</si>
  <si>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</si>
  <si>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</si>
  <si>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</si>
  <si>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</si>
  <si>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</si>
  <si>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</si>
  <si>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</si>
  <si>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</si>
  <si>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</si>
  <si>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</si>
  <si>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</si>
  <si>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</si>
  <si>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</si>
  <si>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</si>
  <si>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</si>
  <si>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</si>
  <si>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</si>
  <si>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</si>
  <si>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</si>
  <si>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</si>
  <si>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</si>
  <si>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</si>
  <si>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</si>
  <si>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</si>
  <si>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</si>
  <si>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</si>
  <si>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</si>
  <si>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</si>
  <si>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</si>
  <si>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</si>
  <si>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</si>
  <si>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</si>
  <si>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</si>
  <si>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</si>
  <si>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</si>
  <si>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</si>
  <si>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</si>
  <si>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</si>
  <si>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</si>
  <si>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</si>
  <si>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</si>
  <si>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</si>
  <si>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</si>
  <si>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</si>
  <si>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</si>
  <si>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</si>
  <si>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</si>
  <si>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</si>
  <si>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</si>
  <si>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</si>
  <si>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</si>
  <si>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</si>
  <si>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</si>
  <si>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</si>
  <si>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</si>
  <si>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</si>
  <si>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</si>
  <si>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</si>
  <si>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</si>
  <si>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</si>
  <si>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</si>
  <si>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</si>
  <si>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</si>
  <si>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</si>
  <si>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</si>
  <si>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</si>
  <si>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</si>
  <si>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</si>
  <si>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</si>
  <si>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</si>
  <si>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</si>
  <si>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</si>
  <si>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</si>
  <si>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</si>
  <si>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</si>
  <si>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</si>
  <si>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</si>
  <si>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</si>
  <si>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</si>
  <si>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</si>
  <si>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</si>
  <si>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</si>
  <si>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</si>
  <si>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</si>
  <si>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</si>
  <si>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</si>
  <si>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</si>
  <si>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</si>
  <si>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</si>
  <si>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</si>
  <si>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</si>
  <si>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</si>
  <si>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</si>
  <si>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</si>
  <si>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</si>
  <si>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</si>
  <si>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</si>
  <si>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</si>
  <si>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</si>
  <si>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</si>
  <si>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</si>
  <si>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</si>
  <si>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</si>
  <si>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</si>
  <si>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</si>
  <si>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</si>
  <si>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</si>
  <si>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</si>
  <si>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</si>
  <si>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</si>
  <si>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</si>
  <si>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</si>
  <si>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</si>
  <si>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</si>
  <si>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</si>
  <si>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</si>
  <si>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</si>
  <si>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</si>
  <si>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</si>
  <si>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</si>
  <si>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</si>
  <si>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</si>
  <si>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</si>
  <si>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</si>
  <si>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</si>
  <si>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</si>
  <si>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</si>
  <si>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</si>
  <si>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</si>
  <si>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</si>
  <si>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</si>
  <si>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</si>
  <si>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</si>
  <si>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</si>
  <si>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</si>
  <si>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</si>
  <si>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</si>
  <si>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</si>
  <si>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</si>
  <si>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</si>
  <si>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</si>
  <si>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</si>
  <si>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</si>
  <si>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</si>
  <si>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</si>
  <si>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</si>
  <si>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</si>
  <si>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</si>
  <si>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</si>
  <si>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</si>
  <si>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</si>
  <si>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</si>
  <si>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</si>
  <si>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</si>
  <si>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</si>
  <si>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</si>
  <si>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</si>
  <si>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</si>
  <si>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</si>
  <si>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</si>
  <si>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</si>
  <si>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</si>
  <si>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</si>
  <si>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</si>
  <si>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</si>
  <si>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</si>
  <si>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</si>
  <si>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</si>
  <si>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</si>
  <si>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</si>
  <si>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</si>
  <si>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</si>
  <si>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</si>
  <si>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</si>
  <si>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</si>
  <si>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</si>
  <si>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</si>
  <si>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</si>
  <si>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</si>
  <si>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</si>
  <si>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</si>
  <si>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</si>
  <si>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</si>
  <si>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</si>
  <si>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</si>
  <si>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</si>
  <si>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</si>
  <si>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</si>
  <si>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</si>
  <si>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</si>
  <si>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</si>
  <si>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</si>
  <si>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</si>
  <si>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</si>
  <si>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</si>
  <si>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</si>
  <si>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</si>
  <si>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</si>
  <si>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</si>
  <si>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</si>
  <si>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</si>
  <si>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</si>
  <si>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</si>
  <si>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</si>
  <si>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</si>
  <si>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</si>
  <si>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</si>
  <si>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</si>
  <si>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</si>
  <si>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</si>
  <si>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</si>
  <si>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</si>
  <si>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</si>
  <si>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</si>
  <si>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</si>
  <si>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</si>
  <si>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</si>
  <si>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</si>
  <si>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</si>
  <si>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</si>
  <si>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</si>
  <si>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</si>
  <si>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</si>
  <si>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</si>
  <si>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</si>
  <si>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</si>
  <si>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</si>
  <si>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</si>
  <si>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</si>
  <si>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</si>
  <si>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</si>
  <si>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</si>
  <si>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</si>
  <si>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</si>
  <si>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</si>
  <si>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</si>
  <si>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</si>
  <si>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</si>
  <si>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</si>
  <si>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</si>
  <si>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</si>
  <si>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</si>
  <si>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</si>
  <si>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</si>
  <si>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</si>
  <si>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</si>
  <si>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</si>
  <si>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</si>
  <si>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</si>
  <si>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</si>
  <si>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</si>
  <si>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</si>
  <si>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</si>
  <si>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</si>
  <si>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</si>
  <si>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</si>
  <si>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</si>
  <si>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</si>
  <si>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</si>
  <si>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</si>
  <si>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</si>
  <si>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</si>
  <si>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</si>
  <si>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</si>
  <si>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</si>
  <si>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</si>
  <si>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</si>
  <si>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</si>
  <si>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</si>
  <si>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</si>
  <si>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</si>
  <si>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</si>
  <si>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</si>
  <si>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</si>
  <si>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</si>
  <si>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</si>
  <si>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</si>
  <si>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</si>
  <si>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</si>
  <si>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</si>
  <si>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</si>
  <si>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</si>
  <si>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</si>
  <si>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</si>
  <si>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</si>
  <si>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</si>
  <si>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</si>
  <si>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</si>
  <si>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</si>
  <si>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</si>
  <si>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</si>
  <si>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</si>
  <si>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</si>
  <si>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</si>
  <si>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</si>
  <si>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</si>
  <si>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</si>
  <si>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</si>
  <si>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</si>
  <si>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</si>
  <si>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</si>
  <si>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</si>
  <si>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</si>
  <si>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</si>
  <si>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</si>
  <si>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</si>
  <si>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</si>
  <si>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</si>
  <si>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</si>
  <si>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</si>
  <si>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</si>
  <si>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</si>
  <si>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</si>
  <si>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</si>
  <si>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</si>
  <si>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</si>
  <si>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</si>
  <si>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</si>
  <si>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</si>
  <si>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</si>
  <si>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</si>
  <si>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</si>
  <si>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</si>
  <si>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</si>
  <si>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</si>
  <si>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</si>
  <si>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</si>
  <si>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</si>
  <si>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</si>
  <si>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</si>
  <si>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</si>
  <si>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</si>
  <si>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</si>
  <si>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</si>
  <si>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</si>
  <si>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</si>
  <si>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</si>
  <si>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</si>
  <si>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</si>
  <si>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</si>
  <si>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</si>
  <si>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</si>
  <si>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</si>
  <si>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</si>
  <si>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</si>
  <si>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</si>
  <si>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</si>
  <si>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</si>
  <si>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</si>
  <si>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</si>
  <si>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</si>
  <si>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</si>
  <si>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</si>
  <si>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</si>
  <si>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</si>
  <si>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</si>
  <si>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</si>
  <si>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</si>
  <si>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</si>
  <si>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</si>
  <si>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</si>
  <si>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</si>
  <si>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</si>
  <si>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</si>
  <si>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</si>
  <si>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</si>
  <si>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</si>
  <si>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</si>
  <si>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</si>
  <si>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</si>
  <si>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</si>
  <si>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</si>
  <si>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</si>
  <si>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</si>
  <si>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</si>
  <si>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</si>
  <si>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</si>
  <si>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</si>
  <si>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</si>
  <si>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</si>
  <si>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</si>
  <si>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</si>
  <si>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</si>
  <si>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</si>
  <si>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</si>
  <si>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</si>
  <si>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</si>
  <si>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</si>
  <si>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</si>
  <si>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</si>
  <si>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</si>
  <si>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</si>
  <si>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</si>
  <si>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</si>
  <si>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</si>
  <si>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</si>
  <si>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</si>
  <si>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</si>
  <si>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</si>
  <si>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</si>
  <si>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</si>
  <si>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</si>
  <si>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</si>
  <si>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</si>
  <si>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</si>
  <si>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</si>
  <si>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</si>
  <si>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</si>
  <si>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</si>
  <si>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</si>
  <si>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</si>
  <si>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</si>
  <si>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</si>
  <si>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</si>
  <si>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</si>
  <si>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</si>
  <si>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</si>
  <si>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</si>
  <si>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</si>
  <si>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</si>
  <si>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</si>
  <si>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</si>
  <si>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</si>
  <si>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</si>
  <si>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</si>
  <si>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</si>
  <si>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</si>
  <si>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</si>
  <si>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</si>
  <si>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</si>
  <si>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</si>
  <si>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</si>
  <si>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</si>
  <si>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</si>
  <si>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</si>
  <si>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</si>
  <si>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</si>
  <si>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</si>
  <si>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</si>
  <si>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</si>
  <si>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</si>
  <si>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</si>
  <si>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</si>
  <si>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</si>
  <si>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</si>
  <si>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</si>
  <si>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</si>
  <si>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</si>
  <si>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</si>
  <si>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</si>
  <si>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</si>
  <si>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</si>
  <si>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</si>
  <si>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</si>
  <si>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</si>
  <si>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</si>
  <si>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</si>
  <si>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</si>
  <si>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</si>
  <si>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</si>
  <si>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</si>
  <si>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</si>
  <si>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</si>
  <si>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</si>
  <si>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</si>
  <si>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</si>
  <si>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</si>
  <si>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</si>
  <si>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</si>
  <si>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</si>
  <si>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</si>
  <si>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</si>
  <si>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</si>
  <si>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</si>
  <si>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</si>
  <si>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</si>
  <si>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</si>
  <si>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</si>
  <si>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</si>
  <si>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</si>
  <si>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</si>
  <si>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</si>
  <si>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</si>
  <si>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</si>
  <si>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</si>
  <si>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</si>
  <si>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</si>
  <si>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</si>
  <si>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</si>
  <si>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</si>
  <si>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</si>
  <si>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</si>
  <si>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</si>
  <si>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</si>
  <si>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</si>
  <si>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</si>
  <si>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</si>
  <si>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</si>
  <si>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</si>
  <si>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</si>
  <si>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</si>
  <si>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</si>
  <si>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</si>
  <si>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</si>
  <si>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</si>
  <si>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</si>
  <si>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</si>
  <si>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</si>
  <si>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</si>
  <si>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</si>
  <si>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</si>
  <si>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</si>
  <si>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</si>
  <si>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</si>
  <si>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</si>
  <si>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</si>
  <si>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</si>
  <si>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</si>
  <si>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</si>
  <si>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</si>
  <si>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</si>
  <si>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</si>
  <si>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</si>
  <si>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</si>
  <si>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</si>
  <si>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</si>
  <si>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</si>
  <si>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</si>
  <si>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</si>
  <si>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</si>
  <si>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</si>
  <si>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</si>
  <si>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</si>
  <si>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</si>
  <si>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</si>
  <si>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</si>
  <si>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</si>
  <si>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</si>
  <si>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</si>
  <si>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</si>
  <si>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</si>
  <si>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</si>
  <si>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</si>
  <si>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</si>
  <si>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</si>
  <si>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</si>
  <si>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</si>
  <si>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</si>
  <si>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</si>
  <si>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</si>
  <si>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</si>
  <si>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</si>
  <si>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</si>
  <si>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</si>
  <si>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</si>
  <si>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</si>
  <si>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</si>
  <si>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</si>
  <si>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</si>
  <si>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</si>
  <si>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</si>
  <si>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</si>
  <si>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</si>
  <si>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</si>
  <si>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</si>
  <si>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</si>
  <si>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</si>
  <si>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</si>
  <si>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</si>
  <si>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</si>
  <si>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</si>
  <si>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</si>
  <si>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</si>
  <si>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</si>
  <si>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</si>
  <si>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</si>
  <si>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</si>
  <si>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</si>
  <si>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</si>
  <si>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</si>
  <si>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</si>
  <si>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</si>
  <si>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</si>
  <si>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</si>
  <si>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</si>
  <si>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</si>
  <si>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</si>
  <si>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</si>
  <si>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</si>
  <si>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</si>
  <si>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</si>
  <si>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</si>
  <si>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</si>
  <si>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</si>
  <si>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</si>
  <si>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</si>
  <si>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</si>
  <si>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</si>
  <si>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</si>
  <si>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</si>
  <si>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</si>
  <si>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</si>
  <si>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</si>
  <si>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</si>
  <si>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</si>
  <si>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</si>
  <si>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</si>
  <si>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</si>
  <si>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</si>
  <si>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</si>
  <si>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</si>
  <si>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</si>
  <si>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</si>
  <si>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</si>
  <si>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</si>
  <si>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</si>
  <si>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</si>
  <si>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</si>
  <si>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</si>
  <si>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</si>
  <si>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</si>
  <si>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</si>
  <si>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</si>
  <si>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</si>
  <si>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</si>
  <si>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</si>
  <si>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</si>
  <si>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</si>
  <si>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</si>
  <si>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</si>
  <si>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</si>
  <si>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</si>
  <si>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</si>
  <si>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</si>
  <si>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</si>
  <si>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</si>
  <si>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</si>
  <si>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</si>
  <si>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</si>
  <si>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</si>
  <si>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</si>
  <si>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</si>
  <si>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</si>
  <si>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</si>
  <si>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</si>
  <si>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</si>
  <si>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</si>
  <si>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</si>
  <si>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</si>
  <si>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</si>
  <si>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</si>
  <si>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</si>
  <si>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</si>
  <si>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</si>
  <si>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</si>
  <si>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</si>
  <si>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</si>
  <si>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</si>
  <si>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</si>
  <si>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</si>
  <si>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</si>
  <si>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</si>
  <si>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</si>
  <si>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</si>
  <si>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</si>
  <si>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</si>
  <si>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</si>
  <si>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</si>
  <si>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</si>
  <si>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</si>
  <si>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</si>
  <si>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</si>
  <si>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</si>
  <si>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</si>
  <si>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</si>
  <si>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</si>
  <si>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</si>
  <si>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</si>
  <si>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</si>
  <si>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</si>
  <si>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</si>
  <si>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</si>
  <si>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</si>
  <si>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</si>
  <si>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</si>
  <si>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</si>
  <si>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</si>
  <si>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</si>
  <si>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</si>
  <si>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</si>
  <si>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</si>
  <si>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</si>
  <si>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</si>
  <si>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</si>
  <si>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</si>
  <si>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</si>
  <si>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</si>
  <si>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</si>
  <si>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</si>
  <si>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</si>
  <si>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</si>
  <si>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</si>
  <si>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</si>
  <si>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</si>
  <si>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</si>
  <si>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</si>
  <si>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</si>
  <si>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</si>
  <si>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</si>
  <si>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</si>
  <si>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</si>
  <si>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</si>
  <si>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</si>
  <si>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</si>
  <si>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</si>
  <si>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</si>
  <si>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</si>
  <si>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</si>
  <si>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</si>
  <si>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</si>
  <si>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</si>
  <si>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</si>
  <si>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</si>
  <si>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</si>
  <si>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</si>
  <si>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</si>
  <si>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</si>
  <si>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</si>
  <si>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</si>
  <si>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</si>
  <si>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</si>
  <si>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</si>
  <si>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</si>
  <si>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</si>
  <si>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</si>
  <si>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</si>
  <si>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</si>
  <si>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</si>
  <si>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</si>
  <si>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</si>
  <si>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</si>
  <si>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</si>
  <si>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</si>
  <si>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</si>
  <si>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</si>
  <si>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</si>
  <si>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</si>
  <si>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</si>
  <si>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</si>
  <si>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</si>
  <si>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</si>
  <si>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</si>
  <si>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</si>
  <si>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</si>
  <si>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</si>
  <si>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</si>
  <si>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</si>
  <si>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</si>
  <si>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</si>
  <si>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</si>
  <si>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</si>
  <si>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</si>
  <si>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</si>
  <si>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</si>
  <si>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</si>
  <si>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</si>
  <si>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</si>
  <si>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</si>
  <si>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</si>
  <si>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</si>
  <si>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</si>
  <si>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</si>
  <si>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</si>
  <si>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</si>
  <si>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</si>
  <si>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</si>
  <si>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</si>
  <si>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</si>
  <si>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</si>
  <si>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</si>
  <si>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</si>
  <si>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</si>
  <si>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</si>
  <si>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</si>
  <si>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</si>
  <si>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</si>
  <si>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</si>
  <si>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</si>
  <si>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</si>
  <si>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</si>
  <si>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</si>
  <si>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</si>
  <si>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</si>
  <si>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</si>
  <si>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</si>
  <si>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</si>
  <si>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</si>
  <si>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</si>
  <si>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</si>
  <si>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</si>
  <si>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</si>
  <si>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</si>
  <si>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</si>
  <si>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</si>
  <si>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</si>
  <si>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</si>
  <si>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</si>
  <si>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</si>
  <si>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</si>
  <si>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</si>
  <si>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</si>
  <si>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</si>
  <si>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</si>
  <si>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</si>
  <si>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</si>
  <si>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</si>
  <si>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</si>
  <si>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</si>
  <si>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</si>
  <si>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</si>
  <si>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</si>
  <si>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</si>
  <si>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</si>
  <si>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</si>
  <si>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</si>
  <si>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</si>
  <si>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</si>
  <si>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</si>
  <si>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</si>
  <si>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</si>
  <si>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</si>
  <si>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</si>
  <si>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</si>
  <si>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</si>
  <si>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</si>
  <si>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</si>
  <si>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</si>
  <si>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</si>
  <si>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</si>
  <si>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</si>
  <si>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</si>
  <si>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</si>
  <si>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</si>
  <si>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</si>
  <si>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</si>
  <si>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</si>
  <si>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</si>
  <si>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</si>
  <si>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</si>
  <si>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</si>
  <si>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</si>
  <si>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</si>
  <si>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</si>
  <si>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</si>
  <si>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</si>
  <si>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</si>
  <si>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</si>
  <si>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</si>
  <si>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</si>
  <si>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</si>
  <si>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</si>
  <si>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</si>
  <si>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</si>
  <si>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</si>
  <si>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</si>
  <si>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</si>
  <si>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</si>
  <si>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</si>
  <si>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</si>
  <si>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</si>
  <si>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</si>
  <si>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</si>
  <si>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</si>
  <si>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</si>
  <si>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</si>
  <si>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</si>
  <si>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</si>
  <si>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</si>
  <si>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</si>
  <si>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</si>
  <si>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</si>
  <si>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</si>
  <si>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</si>
  <si>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</si>
  <si>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</si>
  <si>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</si>
  <si>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</si>
  <si>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</si>
  <si>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</si>
  <si>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</si>
  <si>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</si>
  <si>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</si>
  <si>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</si>
  <si>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</si>
  <si>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</si>
  <si>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</si>
  <si>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</si>
  <si>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</si>
  <si>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</si>
  <si>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</si>
  <si>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</si>
  <si>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</si>
  <si>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</si>
  <si>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</si>
  <si>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</si>
  <si>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</si>
  <si>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</si>
  <si>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</si>
  <si>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</si>
  <si>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</si>
  <si>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</si>
  <si>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</si>
  <si>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</si>
  <si>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</si>
  <si>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</si>
  <si>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</si>
  <si>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</si>
  <si>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</si>
  <si>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</si>
  <si>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</si>
  <si>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</si>
  <si>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</si>
  <si>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</si>
  <si>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</si>
  <si>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</si>
  <si>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</si>
  <si>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</si>
  <si>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</si>
  <si>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</si>
  <si>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</si>
  <si>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</si>
  <si>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</si>
  <si>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</si>
  <si>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</si>
  <si>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</si>
  <si>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</si>
  <si>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</si>
  <si>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</si>
  <si>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</si>
  <si>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</si>
  <si>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</si>
  <si>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</si>
  <si>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</si>
  <si>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</si>
  <si>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</si>
  <si>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</si>
  <si>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</si>
  <si>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</si>
  <si>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</si>
  <si>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</si>
  <si>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</si>
  <si>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</si>
  <si>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</si>
  <si>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</si>
  <si>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</si>
  <si>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</si>
  <si>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</si>
  <si>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</si>
  <si>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</si>
  <si>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</si>
  <si>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</si>
  <si>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</si>
  <si>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</si>
  <si>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</si>
  <si>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</si>
  <si>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</si>
  <si>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</si>
  <si>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</si>
  <si>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</si>
  <si>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</si>
  <si>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</si>
  <si>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</si>
  <si>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</si>
  <si>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</si>
  <si>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</si>
  <si>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</si>
  <si>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</si>
  <si>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</si>
  <si>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</si>
  <si>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</si>
  <si>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</si>
  <si>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</si>
  <si>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</si>
  <si>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</si>
  <si>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</si>
  <si>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</si>
  <si>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</si>
  <si>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</si>
  <si>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</si>
  <si>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</si>
  <si>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</si>
  <si>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</si>
  <si>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</si>
  <si>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</si>
  <si>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</si>
  <si>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</si>
  <si>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</si>
  <si>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</si>
  <si>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</si>
  <si>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</si>
  <si>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</si>
  <si>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</si>
  <si>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</si>
  <si>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</si>
  <si>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</si>
  <si>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</si>
  <si>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</si>
  <si>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</si>
  <si>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</si>
  <si>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</si>
  <si>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</si>
  <si>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</si>
  <si>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</si>
  <si>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</si>
  <si>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</si>
  <si>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</si>
  <si>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</si>
  <si>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</si>
  <si>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</si>
  <si>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</si>
  <si>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</si>
  <si>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</si>
  <si>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</si>
  <si>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</si>
  <si>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</si>
  <si>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</si>
  <si>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</si>
  <si>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</si>
  <si>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</si>
  <si>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</si>
  <si>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</si>
  <si>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</si>
  <si>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</si>
  <si>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</si>
  <si>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</si>
  <si>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</si>
  <si>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</si>
  <si>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</si>
  <si>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</si>
  <si>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</si>
  <si>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</si>
  <si>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</si>
  <si>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</si>
  <si>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</si>
  <si>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</si>
  <si>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</si>
  <si>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</si>
  <si>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</si>
  <si>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</si>
  <si>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</si>
  <si>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</si>
  <si>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</si>
  <si>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</si>
  <si>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</si>
  <si>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</si>
  <si>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</si>
  <si>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</si>
  <si>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</si>
  <si>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</si>
  <si>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</si>
  <si>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</si>
  <si>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</si>
  <si>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</si>
  <si>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</si>
  <si>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</si>
  <si>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</si>
  <si>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</si>
  <si>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</si>
  <si>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</si>
  <si>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</si>
  <si>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</si>
  <si>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</si>
  <si>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</si>
  <si>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</si>
  <si>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</si>
  <si>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</si>
  <si>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</si>
  <si>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</si>
  <si>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</si>
  <si>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</si>
  <si>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</si>
  <si>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</si>
  <si>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</si>
  <si>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</si>
  <si>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</si>
  <si>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</si>
  <si>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</si>
  <si>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</si>
  <si>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</si>
  <si>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</si>
  <si>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</si>
  <si>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</si>
  <si>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</si>
  <si>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</si>
  <si>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</si>
  <si>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</si>
  <si>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</si>
  <si>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</si>
  <si>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</si>
  <si>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</si>
  <si>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</si>
  <si>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</si>
  <si>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</si>
  <si>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</si>
  <si>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</si>
  <si>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</si>
  <si>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</si>
  <si>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</si>
  <si>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</si>
  <si>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</si>
  <si>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</si>
  <si>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</si>
  <si>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</si>
  <si>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</si>
  <si>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</si>
  <si>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</si>
  <si>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</si>
  <si>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</si>
  <si>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</si>
  <si>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</si>
  <si>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</si>
  <si>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</si>
  <si>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</si>
  <si>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</si>
  <si>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</si>
  <si>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</si>
  <si>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</si>
  <si>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</si>
  <si>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</si>
  <si>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</si>
  <si>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</si>
  <si>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</si>
  <si>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</si>
  <si>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</si>
  <si>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</si>
  <si>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</si>
  <si>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</si>
  <si>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</si>
  <si>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</si>
  <si>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</si>
  <si>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</si>
  <si>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</si>
  <si>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</si>
  <si>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</si>
  <si>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</si>
  <si>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</si>
  <si>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</si>
  <si>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</si>
  <si>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</si>
  <si>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</si>
  <si>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</si>
  <si>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</si>
  <si>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</si>
  <si>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</si>
  <si>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</si>
  <si>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</si>
  <si>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</si>
  <si>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</si>
  <si>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</si>
  <si>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</si>
  <si>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</si>
  <si>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</si>
  <si>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</si>
  <si>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</si>
  <si>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</si>
  <si>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</si>
  <si>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</si>
  <si>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</si>
  <si>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</si>
  <si>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</si>
  <si>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</si>
  <si>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</si>
  <si>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</si>
  <si>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</si>
  <si>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</si>
  <si>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</si>
  <si>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</si>
  <si>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</si>
  <si>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</si>
  <si>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</si>
  <si>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</si>
  <si>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</si>
  <si>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</si>
  <si>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</si>
  <si>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</si>
  <si>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</si>
  <si>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</si>
  <si>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</si>
  <si>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</si>
  <si>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</si>
  <si>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</si>
  <si>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</si>
  <si>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</si>
  <si>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</si>
  <si>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</si>
  <si>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</si>
  <si>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</si>
  <si>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</si>
  <si>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</si>
  <si>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</si>
  <si>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</si>
  <si>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</si>
  <si>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</si>
  <si>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</si>
  <si>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</si>
  <si>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</si>
  <si>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</si>
  <si>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</si>
  <si>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</si>
  <si>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</si>
  <si>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</si>
  <si>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</si>
  <si>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</si>
  <si>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</si>
  <si>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</si>
  <si>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</si>
  <si>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</si>
  <si>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</si>
  <si>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</si>
  <si>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</si>
  <si>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</si>
  <si>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</si>
  <si>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</si>
  <si>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</si>
  <si>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</si>
  <si>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</si>
  <si>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</si>
  <si>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</si>
  <si>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</si>
  <si>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</si>
  <si>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</si>
  <si>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</si>
  <si>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</si>
  <si>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</si>
  <si>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</si>
  <si>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</si>
  <si>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</si>
  <si>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</si>
  <si>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</si>
  <si>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</si>
  <si>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</si>
  <si>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</si>
  <si>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</si>
  <si>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</si>
  <si>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</si>
  <si>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</si>
  <si>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</si>
  <si>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</si>
  <si>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</si>
  <si>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</si>
  <si>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</si>
  <si>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</si>
  <si>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</si>
  <si>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</si>
  <si>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</si>
  <si>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</si>
  <si>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</si>
  <si>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</si>
  <si>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</si>
  <si>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</si>
  <si>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</si>
  <si>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</si>
  <si>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</si>
  <si>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</si>
  <si>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</si>
  <si>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</si>
  <si>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</si>
  <si>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</si>
  <si>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</si>
  <si>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</si>
  <si>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</si>
  <si>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</si>
  <si>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</si>
  <si>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</si>
  <si>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</si>
  <si>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</si>
  <si>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</si>
  <si>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</si>
  <si>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</si>
  <si>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</si>
  <si>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</si>
  <si>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</si>
  <si>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</si>
  <si>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</si>
  <si>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</si>
  <si>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</si>
  <si>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</si>
  <si>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</si>
  <si>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</si>
  <si>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</si>
  <si>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</si>
  <si>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</si>
  <si>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</si>
  <si>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</si>
  <si>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</si>
  <si>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</si>
  <si>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</si>
  <si>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</si>
  <si>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</si>
  <si>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</si>
  <si>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</si>
  <si>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</si>
  <si>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</si>
  <si>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</si>
  <si>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</si>
  <si>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</si>
  <si>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</si>
  <si>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</si>
  <si>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</si>
  <si>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</si>
  <si>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</si>
  <si>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</si>
  <si>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</si>
  <si>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</si>
  <si>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</si>
  <si>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</si>
  <si>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</si>
  <si>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</si>
  <si>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</si>
  <si>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</si>
  <si>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</si>
  <si>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</si>
  <si>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</si>
  <si>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</si>
  <si>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</si>
  <si>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</si>
  <si>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</si>
  <si>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</si>
  <si>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</si>
  <si>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</si>
  <si>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</si>
  <si>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</si>
  <si>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</si>
  <si>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</si>
  <si>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</si>
  <si>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</si>
  <si>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</si>
  <si>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</si>
  <si>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</si>
  <si>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</si>
  <si>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</si>
  <si>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</si>
  <si>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</si>
  <si>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</si>
  <si>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</si>
  <si>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</si>
  <si>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</si>
  <si>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</si>
  <si>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</si>
  <si>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</si>
  <si>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</si>
  <si>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</si>
  <si>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</si>
  <si>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</si>
  <si>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</si>
  <si>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</si>
  <si>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</si>
  <si>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</si>
  <si>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</si>
  <si>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</si>
  <si>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</si>
  <si>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</si>
  <si>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</si>
  <si>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</si>
  <si>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</si>
  <si>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</si>
  <si>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</si>
  <si>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</si>
  <si>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</si>
  <si>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</si>
  <si>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</si>
  <si>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</si>
  <si>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</si>
  <si>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</si>
  <si>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</si>
  <si>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</si>
  <si>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</si>
  <si>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</si>
  <si>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</si>
  <si>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</si>
  <si>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</si>
  <si>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</si>
  <si>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</si>
  <si>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</si>
  <si>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</si>
  <si>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</si>
  <si>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</si>
  <si>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</si>
  <si>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</si>
  <si>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</si>
  <si>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</si>
  <si>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</si>
  <si>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</si>
  <si>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</si>
  <si>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</si>
  <si>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</si>
  <si>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</si>
  <si>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</si>
  <si>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</si>
  <si>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</si>
  <si>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</si>
  <si>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</si>
  <si>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</si>
  <si>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</si>
  <si>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</si>
  <si>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</si>
  <si>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</si>
  <si>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</si>
  <si>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</si>
  <si>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</si>
  <si>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</si>
  <si>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</si>
  <si>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</si>
  <si>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</si>
  <si>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</si>
  <si>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</si>
  <si>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</si>
  <si>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</si>
  <si>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</si>
  <si>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</si>
  <si>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</si>
  <si>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</si>
  <si>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</si>
  <si>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</si>
  <si>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</si>
  <si>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</si>
  <si>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</si>
  <si>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</si>
  <si>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</si>
  <si>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</si>
  <si>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</si>
  <si>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</si>
  <si>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</si>
  <si>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</si>
  <si>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</si>
  <si>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</si>
  <si>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</si>
  <si>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</si>
  <si>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</si>
  <si>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</si>
  <si>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</si>
  <si>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</si>
  <si>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</si>
  <si>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</si>
  <si>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</si>
  <si>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</si>
  <si>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</si>
  <si>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</si>
  <si>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</si>
  <si>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</si>
  <si>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</si>
  <si>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</si>
  <si>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</si>
  <si>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</si>
  <si>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</si>
  <si>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</si>
  <si>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</si>
  <si>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</si>
  <si>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</si>
  <si>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</si>
  <si>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</si>
  <si>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</si>
  <si>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</si>
  <si>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</si>
  <si>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</si>
  <si>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</si>
  <si>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</si>
  <si>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</si>
  <si>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</si>
  <si>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</si>
  <si>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</si>
  <si>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</si>
  <si>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</si>
  <si>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</si>
  <si>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</si>
  <si>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</si>
  <si>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</si>
  <si>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</si>
  <si>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</si>
  <si>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</si>
  <si>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</si>
  <si>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</si>
  <si>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</si>
  <si>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</si>
  <si>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</si>
  <si>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</si>
  <si>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</si>
  <si>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</si>
  <si>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</si>
  <si>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</si>
  <si>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</si>
  <si>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</si>
  <si>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</si>
  <si>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</si>
  <si>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</si>
  <si>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</si>
  <si>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</si>
  <si>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</si>
  <si>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</si>
  <si>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</si>
  <si>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</si>
  <si>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</si>
  <si>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</si>
  <si>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</si>
  <si>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</si>
  <si>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</si>
  <si>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</si>
  <si>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</si>
  <si>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</si>
  <si>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</si>
  <si>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</si>
  <si>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</si>
  <si>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</si>
  <si>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</si>
  <si>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</si>
  <si>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</si>
  <si>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</si>
  <si>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</si>
  <si>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</si>
  <si>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</si>
  <si>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</si>
  <si>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</si>
  <si>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</si>
  <si>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</si>
  <si>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</si>
  <si>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</si>
  <si>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</si>
  <si>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</si>
  <si>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</si>
  <si>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</si>
  <si>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</si>
  <si>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</si>
  <si>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</si>
  <si>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</si>
  <si>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</si>
  <si>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</si>
  <si>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</si>
  <si>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</si>
  <si>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</si>
  <si>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</si>
  <si>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</si>
  <si>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</si>
  <si>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</si>
  <si>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</si>
  <si>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</si>
  <si>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</si>
  <si>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</si>
  <si>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</si>
  <si>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</si>
  <si>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</si>
  <si>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</si>
  <si>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</si>
  <si>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</si>
  <si>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</si>
  <si>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</si>
  <si>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</si>
  <si>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</si>
  <si>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</si>
  <si>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</si>
  <si>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</si>
  <si>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</si>
  <si>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</si>
  <si>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</si>
  <si>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</si>
  <si>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</si>
  <si>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</si>
  <si>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</si>
  <si>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</si>
  <si>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</si>
  <si>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</si>
  <si>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</si>
  <si>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</si>
  <si>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</si>
  <si>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</si>
  <si>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</si>
  <si>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</si>
  <si>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</si>
  <si>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</si>
  <si>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</si>
  <si>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</si>
  <si>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</si>
  <si>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</si>
  <si>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</si>
  <si>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</si>
  <si>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</si>
  <si>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</si>
  <si>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</si>
  <si>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</si>
  <si>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</si>
  <si>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</si>
  <si>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</si>
  <si>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</si>
  <si>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</si>
  <si>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</si>
  <si>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</si>
  <si>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</si>
  <si>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</si>
  <si>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</si>
  <si>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</si>
  <si>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</si>
  <si>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</si>
  <si>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</si>
  <si>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</si>
  <si>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</si>
  <si>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</si>
  <si>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</si>
  <si>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</si>
  <si>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</si>
  <si>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</si>
  <si>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</si>
  <si>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</si>
  <si>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</si>
  <si>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</si>
  <si>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</si>
  <si>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</si>
  <si>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</si>
  <si>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</si>
  <si>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</si>
  <si>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</si>
  <si>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</si>
  <si>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</si>
  <si>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</si>
  <si>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</si>
  <si>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</si>
  <si>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</si>
  <si>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</si>
  <si>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</si>
  <si>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</si>
  <si>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</si>
  <si>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</si>
  <si>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</si>
  <si>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</si>
  <si>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</si>
  <si>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</si>
  <si>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</si>
  <si>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</si>
  <si>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</si>
  <si>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</si>
  <si>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</si>
  <si>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</si>
  <si>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</si>
  <si>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</si>
  <si>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</si>
  <si>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</si>
  <si>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</si>
  <si>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</si>
  <si>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</si>
  <si>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</si>
  <si>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</si>
  <si>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</si>
  <si>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</si>
  <si>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</si>
  <si>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</si>
  <si>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</si>
  <si>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</si>
  <si>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</si>
  <si>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</si>
  <si>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</si>
  <si>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</si>
  <si>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</si>
  <si>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</si>
  <si>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</si>
  <si>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</si>
  <si>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</si>
  <si>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</si>
  <si>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</si>
  <si>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</si>
  <si>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</si>
  <si>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</si>
  <si>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</si>
  <si>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</si>
  <si>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</si>
  <si>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</si>
  <si>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</si>
  <si>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</si>
  <si>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</si>
  <si>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</si>
  <si>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</si>
  <si>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</si>
  <si>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</si>
  <si>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</si>
  <si>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</si>
  <si>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</si>
  <si>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</si>
  <si>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</si>
  <si>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</si>
  <si>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</si>
  <si>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</si>
  <si>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</si>
  <si>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</si>
  <si>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</si>
  <si>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</si>
  <si>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</si>
  <si>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</si>
  <si>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</si>
  <si>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</si>
  <si>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</si>
  <si>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</si>
  <si>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</si>
  <si>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</si>
  <si>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</si>
  <si>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</si>
  <si>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</si>
  <si>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</si>
  <si>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</si>
  <si>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</si>
  <si>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</si>
  <si>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</si>
  <si>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</si>
  <si>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</si>
  <si>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</si>
  <si>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</si>
  <si>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</si>
  <si>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</si>
  <si>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</si>
  <si>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</si>
  <si>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</si>
  <si>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</si>
  <si>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</si>
  <si>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</si>
  <si>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</si>
  <si>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</si>
  <si>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</si>
  <si>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</si>
  <si>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</si>
  <si>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</si>
  <si>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</si>
  <si>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</si>
  <si>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</si>
  <si>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</si>
  <si>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</si>
  <si>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</si>
  <si>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</si>
  <si>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</si>
  <si>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</si>
  <si>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</si>
  <si>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</si>
  <si>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</si>
  <si>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</si>
  <si>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</si>
  <si>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</si>
  <si>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</si>
  <si>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</si>
  <si>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</si>
  <si>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</si>
  <si>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</si>
  <si>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</si>
  <si>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</si>
  <si>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</si>
  <si>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</si>
  <si>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</si>
  <si>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</si>
  <si>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</si>
  <si>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</si>
  <si>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</si>
  <si>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</si>
  <si>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</si>
  <si>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</si>
  <si>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</si>
  <si>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</si>
  <si>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</si>
  <si>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</si>
  <si>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</si>
  <si>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</si>
  <si>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</si>
  <si>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</si>
  <si>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</si>
  <si>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</si>
  <si>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</si>
  <si>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</si>
  <si>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</si>
  <si>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</si>
  <si>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</si>
  <si>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</si>
  <si>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</si>
  <si>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</si>
  <si>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</si>
  <si>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</si>
  <si>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</si>
  <si>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</si>
  <si>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</si>
  <si>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</si>
  <si>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</si>
  <si>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</si>
  <si>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</si>
  <si>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</si>
  <si>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</si>
  <si>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</si>
  <si>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</si>
  <si>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</si>
  <si>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</si>
  <si>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</si>
  <si>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</si>
  <si>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</si>
  <si>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</si>
  <si>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</si>
  <si>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</si>
  <si>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</si>
  <si>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</si>
  <si>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</si>
  <si>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</si>
  <si>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</si>
  <si>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</si>
  <si>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</si>
  <si>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</si>
  <si>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</si>
  <si>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</si>
  <si>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</si>
  <si>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</si>
  <si>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</si>
  <si>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</si>
  <si>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</si>
  <si>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</si>
  <si>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</si>
  <si>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</si>
  <si>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</si>
  <si>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</si>
  <si>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</si>
  <si>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</si>
  <si>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</si>
  <si>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</si>
  <si>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</si>
  <si>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</si>
  <si>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</si>
  <si>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</si>
  <si>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</si>
  <si>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</si>
  <si>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</si>
  <si>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</si>
  <si>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</si>
  <si>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</si>
  <si>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</si>
  <si>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</si>
  <si>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</si>
  <si>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</si>
  <si>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</si>
  <si>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</si>
  <si>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</si>
  <si>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</si>
  <si>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</si>
  <si>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</si>
  <si>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</si>
  <si>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</si>
  <si>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</si>
  <si>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</si>
  <si>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</si>
  <si>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</si>
  <si>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</si>
  <si>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</si>
  <si>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</si>
  <si>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</si>
  <si>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</si>
  <si>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</si>
  <si>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</si>
  <si>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</si>
  <si>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</si>
  <si>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</si>
  <si>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</si>
  <si>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</si>
  <si>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</si>
  <si>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</si>
  <si>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</si>
  <si>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</si>
  <si>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</si>
  <si>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</si>
  <si>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</si>
  <si>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</si>
  <si>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</si>
  <si>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</si>
  <si>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</si>
  <si>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</si>
  <si>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</si>
  <si>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</si>
  <si>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</si>
  <si>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</si>
  <si>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</si>
  <si>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</si>
  <si>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</si>
  <si>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</si>
  <si>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</si>
  <si>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</si>
  <si>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</si>
  <si>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</si>
  <si>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</si>
  <si>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</si>
  <si>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</si>
  <si>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</si>
  <si>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</si>
  <si>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</si>
  <si>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</si>
  <si>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</si>
  <si>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</si>
  <si>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</si>
  <si>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</si>
  <si>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</si>
  <si>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</si>
  <si>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</si>
  <si>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</si>
  <si>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</si>
  <si>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</si>
  <si>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</si>
  <si>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</si>
  <si>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</si>
  <si>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</si>
  <si>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</si>
  <si>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</si>
  <si>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</si>
  <si>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</si>
  <si>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</si>
  <si>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</si>
  <si>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</si>
  <si>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</si>
  <si>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</si>
  <si>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</si>
  <si>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</si>
  <si>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</si>
  <si>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</si>
  <si>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</si>
  <si>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</si>
  <si>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</si>
  <si>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</si>
  <si>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</si>
  <si>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</si>
  <si>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</si>
  <si>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</si>
  <si>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</si>
  <si>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</si>
  <si>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</si>
  <si>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</si>
  <si>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</si>
  <si>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</si>
  <si>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</si>
  <si>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</si>
  <si>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</si>
  <si>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</si>
  <si>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</si>
  <si>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</si>
  <si>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</si>
  <si>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</si>
  <si>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</si>
  <si>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</si>
  <si>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</si>
  <si>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</si>
  <si>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</si>
  <si>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</si>
  <si>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</si>
  <si>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</si>
  <si>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</si>
  <si>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</si>
  <si>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</si>
  <si>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</si>
  <si>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</si>
  <si>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</si>
  <si>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</si>
  <si>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</si>
  <si>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</si>
  <si>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</si>
  <si>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</si>
  <si>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</si>
  <si>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</si>
  <si>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</si>
  <si>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</si>
  <si>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</si>
  <si>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</si>
  <si>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</si>
  <si>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</si>
  <si>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</si>
  <si>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</si>
  <si>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</si>
  <si>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</si>
  <si>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</si>
  <si>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</si>
  <si>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</si>
  <si>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</si>
  <si>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</si>
  <si>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</si>
  <si>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</si>
  <si>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</si>
  <si>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</si>
  <si>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</si>
  <si>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</si>
  <si>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</si>
  <si>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</si>
  <si>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</si>
  <si>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</si>
  <si>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</si>
  <si>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</si>
  <si>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</si>
  <si>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</si>
  <si>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</si>
  <si>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</si>
  <si>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</si>
  <si>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</si>
  <si>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</si>
  <si>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</si>
  <si>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</si>
  <si>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</si>
  <si>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</si>
  <si>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</si>
  <si>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</si>
  <si>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</si>
  <si>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</si>
  <si>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</si>
  <si>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</si>
  <si>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Row Labels</t>
  </si>
  <si>
    <t>Grand Total</t>
  </si>
  <si>
    <t>TOTAL CUSTOMERS</t>
  </si>
  <si>
    <t>TOTAL SALES</t>
  </si>
  <si>
    <t>TOTAL PROFIT</t>
  </si>
  <si>
    <t>2019</t>
  </si>
  <si>
    <t>2020</t>
  </si>
  <si>
    <t>2021</t>
  </si>
  <si>
    <t>2022</t>
  </si>
  <si>
    <t>SALES GENERATED BY COFFEE TYPE</t>
  </si>
  <si>
    <t>SALES GENERATED BY ROAST TYPE</t>
  </si>
  <si>
    <t>Sum of Profit BY COUNTRY</t>
  </si>
  <si>
    <t>DOUBLE</t>
  </si>
  <si>
    <t>LIGHT</t>
  </si>
  <si>
    <t>MEDIUM</t>
  </si>
  <si>
    <t>Count of Order ID</t>
  </si>
  <si>
    <t>Sum of Profit</t>
  </si>
  <si>
    <t>Sum of Profit BY YEAR</t>
  </si>
  <si>
    <t>Sum of Profit BY COFFEE TYPE</t>
  </si>
  <si>
    <t>Sum of Profit BY SIZE</t>
  </si>
  <si>
    <t>PROFIT MARGIN</t>
  </si>
  <si>
    <t>AVERAGE PROFIT PER ORDER</t>
  </si>
  <si>
    <t>TOTAL SALES FOR PROFIT</t>
  </si>
  <si>
    <t>TOTAL PROFIT FOR PROFIT</t>
  </si>
  <si>
    <t>TOTAL CUSTOMERS FOR PROFIT</t>
  </si>
  <si>
    <t>Count of Order ID FOR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</si>
</sst>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quot;$&quot;* #,##0.00_);_(&quot;$&quot;* \(#,##0.00\);_(&quot;$&quot;* &quot;-&quot;??_);_(@_)"/>
    <numFmt numFmtId="164" formatCode="0.0"/>
    <numFmt numFmtId="165" formatCode="&quot;$&quot;#,##0&quot;K&quot;"/>
    <numFmt numFmtId="166" formatCode="#,###&quot;K&quot;"/>
    <numFmt numFmtId="167" formatCode="#,##0&quot;K&quot;"/>
    <numFmt numFmtId="168" formatCode="0.0&quot;ML&quot;"/>
    <numFmt numFmtId="170" formatCode="0.0&quot;%&quot;"/>
    <numFmt numFmtId="171" formatCode="&quot;$&quot;#,##0&quot;M&quot;"/>
    <numFmt numFmtId="172" formatCode="&quot;$&quot;0.00"/>
  </numFmts>
  <fonts count="6" x14ac:knownFonts="1">
    <font>
      <sz val="11"/>
      <color theme="1"/>
      <name val="Calibri"/>
      <family val="2"/>
      <scheme val="minor"/>
    </font>
    <font>
      <sz val="11"/>
      <color indexed="8"/>
      <name val="Calibri"/>
      <family val="2"/>
    </font>
    <font>
      <b/>
      <sz val="11"/>
      <color theme="1"/>
      <name val="Calibri"/>
      <family val="2"/>
      <scheme val="minor"/>
    </font>
    <font>
      <sz val="12"/>
      <color indexed="8"/>
      <name val="Calibri"/>
      <family val="2"/>
    </font>
    <font>
      <sz val="12"/>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3">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1" fillId="0" borderId="0" xfId="0" applyNumberFormat="1" applyFont="1" applyAlignment="1">
      <alignment vertical="center"/>
    </xf>
    <xf numFmtId="4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vertical="center"/>
    </xf>
    <xf numFmtId="0" fontId="4" fillId="2" borderId="0" xfId="0" applyFont="1" applyFill="1"/>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xf numFmtId="166" fontId="0" fillId="0" borderId="0" xfId="0" applyNumberFormat="1"/>
    <xf numFmtId="167" fontId="0" fillId="0" borderId="0" xfId="0" applyNumberFormat="1"/>
    <xf numFmtId="168" fontId="0" fillId="0" borderId="0" xfId="0" applyNumberFormat="1" applyAlignment="1">
      <alignment horizontal="left"/>
    </xf>
    <xf numFmtId="0" fontId="5" fillId="3" borderId="0" xfId="0" applyFont="1" applyFill="1"/>
    <xf numFmtId="170" fontId="2" fillId="0" borderId="0" xfId="0" applyNumberFormat="1" applyFont="1"/>
    <xf numFmtId="171" fontId="0" fillId="0" borderId="0" xfId="0" applyNumberFormat="1"/>
    <xf numFmtId="172" fontId="2" fillId="0" borderId="0" xfId="0" applyNumberFormat="1" applyFont="1"/>
  </cellXfs>
  <cellStyles count="1">
    <cellStyle name="Normal" xfId="0" builtinId="0"/>
  </cellStyles>
  <dxfs count="29">
    <dxf>
      <numFmt numFmtId="169" formatCode="##&quot;K&quot;"/>
    </dxf>
    <dxf>
      <numFmt numFmtId="167" formatCode="#,##0&quot;K&quot;"/>
    </dxf>
    <dxf>
      <numFmt numFmtId="169" formatCode="##&quot;K&quot;"/>
    </dxf>
    <dxf>
      <numFmt numFmtId="167" formatCode="#,##0&quot;K&quot;"/>
    </dxf>
    <dxf>
      <numFmt numFmtId="0" formatCode="General"/>
    </dxf>
    <dxf>
      <numFmt numFmtId="34" formatCode="_(&quot;$&quot;* #,##0.00_);_(&quot;$&quot;* \(#,##0.00\);_(&quot;$&quot;* &quot;-&quot;??_);_(@_)"/>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scheme val="none"/>
      </font>
      <fill>
        <patternFill patternType="solid">
          <fgColor indexed="64"/>
          <bgColor rgb="FF00B0F0"/>
        </patternFill>
      </fill>
      <alignment horizontal="general" vertical="center" textRotation="0" wrapText="0" indent="0" justifyLastLine="0" shrinkToFit="0" readingOrder="0"/>
    </dxf>
    <dxf>
      <font>
        <b/>
      </font>
    </dxf>
    <dxf>
      <numFmt numFmtId="165" formatCode="&quot;$&quot;#,##0&quot;K&quot;"/>
    </dxf>
    <dxf>
      <font>
        <b/>
      </font>
    </dxf>
    <dxf>
      <font>
        <b/>
      </font>
    </dxf>
    <dxf>
      <font>
        <b/>
      </font>
    </dxf>
    <dxf>
      <font>
        <b/>
      </font>
    </dxf>
    <dxf>
      <font>
        <b/>
      </font>
    </dxf>
    <dxf>
      <font>
        <b/>
      </font>
    </dxf>
    <dxf>
      <font>
        <b/>
      </font>
    </dxf>
    <dxf>
      <font>
        <b/>
      </font>
    </dxf>
    <dxf>
      <font>
        <b/>
      </font>
    </dxf>
    <dxf>
      <font>
        <b/>
      </font>
    </dxf>
    <dxf>
      <font>
        <b/>
        <color theme="1"/>
      </font>
      <border>
        <bottom style="thin">
          <color theme="4"/>
        </bottom>
        <vertical/>
        <horizontal/>
      </border>
    </dxf>
    <dxf>
      <font>
        <b/>
        <i val="0"/>
        <color theme="1"/>
      </font>
      <fill>
        <patternFill>
          <bgColor rgb="FFE4E2BA"/>
        </patternFill>
      </fill>
      <border diagonalUp="0" diagonalDown="0">
        <left/>
        <right/>
        <top/>
        <bottom/>
        <vertical/>
        <horizontal/>
      </border>
    </dxf>
  </dxfs>
  <tableStyles count="1" defaultTableStyle="TableStyleMedium2" defaultPivotStyle="PivotStyleMedium9">
    <tableStyle name="SlicerStyleLight1 2" pivot="0" table="0" count="10">
      <tableStyleElement type="wholeTable" dxfId="28"/>
      <tableStyleElement type="headerRow" dxfId="27"/>
    </tableStyle>
  </tableStyles>
  <colors>
    <mruColors>
      <color rgb="FF5D4117"/>
      <color rgb="FFC6BB8C"/>
      <color rgb="FFEEEDD2"/>
      <color rgb="FFE4E2BA"/>
      <color rgb="FF996600"/>
      <color rgb="FFE6D8B4"/>
      <color rgb="FFE6D9D2"/>
      <color rgb="FFAC4F10"/>
      <color rgb="FF908752"/>
      <color rgb="FF7F581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theme="7"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ANALYSIS.xlsx]PIVOT!PivotTable18</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GENERATED PER YEAR</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marker>
          <c:symbol val="none"/>
        </c:marker>
      </c:pivotFmt>
      <c:pivotFmt>
        <c:idx val="2"/>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4117"/>
          </a:solidFill>
          <a:ln>
            <a:noFill/>
          </a:ln>
          <a:effectLst/>
        </c:spPr>
      </c:pivotFmt>
      <c:pivotFmt>
        <c:idx val="4"/>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411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5D4117"/>
          </a:solidFill>
          <a:ln>
            <a:solidFill>
              <a:srgbClr val="5D4117"/>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5D4117"/>
          </a:solidFill>
          <a:ln>
            <a:solidFill>
              <a:schemeClr val="bg1"/>
            </a:solidFill>
          </a:ln>
          <a:effectLst/>
        </c:spPr>
      </c:pivotFmt>
    </c:pivotFmts>
    <c:plotArea>
      <c:layout/>
      <c:barChart>
        <c:barDir val="col"/>
        <c:grouping val="clustered"/>
        <c:varyColors val="0"/>
        <c:ser>
          <c:idx val="0"/>
          <c:order val="0"/>
          <c:tx>
            <c:strRef>
              <c:f>PIVOT!$B$6</c:f>
              <c:strCache>
                <c:ptCount val="1"/>
                <c:pt idx="0">
                  <c:v>Total</c:v>
                </c:pt>
              </c:strCache>
            </c:strRef>
          </c:tx>
          <c:spPr>
            <a:solidFill>
              <a:srgbClr val="5D4117"/>
            </a:solidFill>
            <a:ln>
              <a:solidFill>
                <a:srgbClr val="5D4117"/>
              </a:solidFill>
            </a:ln>
            <a:effectLst/>
          </c:spPr>
          <c:invertIfNegative val="0"/>
          <c:dPt>
            <c:idx val="0"/>
            <c:invertIfNegative val="0"/>
            <c:bubble3D val="0"/>
            <c:spPr>
              <a:solidFill>
                <a:srgbClr val="5D4117"/>
              </a:solidFill>
              <a:ln>
                <a:solidFill>
                  <a:schemeClr val="bg1"/>
                </a:solidFill>
              </a:ln>
              <a:effectLst/>
            </c:spPr>
            <c:extLst>
              <c:ext xmlns:c16="http://schemas.microsoft.com/office/drawing/2014/chart" uri="{C3380CC4-5D6E-409C-BE32-E72D297353CC}">
                <c16:uniqueId val="{00000000-E497-4A63-B188-E1F63946F23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PIVOT!$A$7:$A$11</c:f>
              <c:strCache>
                <c:ptCount val="4"/>
                <c:pt idx="0">
                  <c:v>2019</c:v>
                </c:pt>
                <c:pt idx="1">
                  <c:v>2020</c:v>
                </c:pt>
                <c:pt idx="2">
                  <c:v>2021</c:v>
                </c:pt>
                <c:pt idx="3">
                  <c:v>2022</c:v>
                </c:pt>
              </c:strCache>
            </c:strRef>
          </c:cat>
          <c:val>
            <c:numRef>
              <c:f>PIVOT!$B$7:$B$11</c:f>
              <c:numCache>
                <c:formatCode>"$"#,##0"K"</c:formatCode>
                <c:ptCount val="4"/>
                <c:pt idx="0">
                  <c:v>583.84</c:v>
                </c:pt>
                <c:pt idx="1">
                  <c:v>473.91999999999996</c:v>
                </c:pt>
                <c:pt idx="2">
                  <c:v>983.74999999999977</c:v>
                </c:pt>
                <c:pt idx="3">
                  <c:v>406.5</c:v>
                </c:pt>
              </c:numCache>
            </c:numRef>
          </c:val>
          <c:extLst>
            <c:ext xmlns:c16="http://schemas.microsoft.com/office/drawing/2014/chart" uri="{C3380CC4-5D6E-409C-BE32-E72D297353CC}">
              <c16:uniqueId val="{00000000-1EC4-43F5-B3F1-116678268BFD}"/>
            </c:ext>
          </c:extLst>
        </c:ser>
        <c:dLbls>
          <c:dLblPos val="outEnd"/>
          <c:showLegendKey val="0"/>
          <c:showVal val="1"/>
          <c:showCatName val="0"/>
          <c:showSerName val="0"/>
          <c:showPercent val="0"/>
          <c:showBubbleSize val="0"/>
        </c:dLbls>
        <c:gapWidth val="75"/>
        <c:axId val="616966095"/>
        <c:axId val="616966927"/>
      </c:barChart>
      <c:catAx>
        <c:axId val="616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16966927"/>
        <c:crosses val="autoZero"/>
        <c:auto val="1"/>
        <c:lblAlgn val="ctr"/>
        <c:lblOffset val="100"/>
        <c:noMultiLvlLbl val="0"/>
      </c:catAx>
      <c:valAx>
        <c:axId val="616966927"/>
        <c:scaling>
          <c:orientation val="minMax"/>
        </c:scaling>
        <c:delete val="1"/>
        <c:axPos val="l"/>
        <c:numFmt formatCode="&quot;$&quot;#,##0&quot;K&quot;" sourceLinked="1"/>
        <c:majorTickMark val="none"/>
        <c:minorTickMark val="none"/>
        <c:tickLblPos val="nextTo"/>
        <c:crossAx val="6169660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ANALYSIS.xlsx]PIVOT!PivotTable20</c:name>
    <c:fmtId val="3"/>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REVENUE</a:t>
            </a:r>
            <a:r>
              <a:rPr lang="en-US" sz="1050" b="1" baseline="0"/>
              <a:t> CONTRIBUTION BY</a:t>
            </a:r>
            <a:r>
              <a:rPr lang="en-US" sz="1050" b="1"/>
              <a:t> ROAST TYPE</a:t>
            </a:r>
          </a:p>
        </c:rich>
      </c:tx>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5D4117"/>
          </a:solidFill>
          <a:ln w="19050">
            <a:solidFill>
              <a:schemeClr val="lt1"/>
            </a:solidFill>
          </a:ln>
          <a:effectLst/>
        </c:spPr>
        <c:dLbl>
          <c:idx val="0"/>
          <c:layout>
            <c:manualLayout>
              <c:x val="0.13964144548156646"/>
              <c:y val="-7.7086182247453339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267D16E3-6932-4E81-A7D3-8AA3D861FDD4}"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4048482C-4A76-417B-98E6-095D8DD324D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147711668491765"/>
                  <c:h val="0.19747646433791091"/>
                </c:manualLayout>
              </c15:layout>
              <c15:dlblFieldTable/>
              <c15:showDataLabelsRange val="0"/>
            </c:ext>
          </c:extLst>
        </c:dLbl>
      </c:pivotFmt>
      <c:pivotFmt>
        <c:idx val="2"/>
        <c:spPr>
          <a:solidFill>
            <a:srgbClr val="908752"/>
          </a:solidFill>
          <a:ln w="19050">
            <a:solidFill>
              <a:schemeClr val="lt1"/>
            </a:solidFill>
          </a:ln>
          <a:effectLst/>
        </c:spPr>
        <c:dLbl>
          <c:idx val="0"/>
          <c:layout>
            <c:manualLayout>
              <c:x val="-0.15560484845462705"/>
              <c:y val="-1.8517091311712856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E05D2B0E-0A0C-4E20-9EE4-0B8CEB8E20C4}"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5C6E9144-8BBC-4A74-9D5C-F0226177E2E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202760250995116"/>
                  <c:h val="0.19067156197356167"/>
                </c:manualLayout>
              </c15:layout>
              <c15:dlblFieldTable/>
              <c15:showDataLabelsRange val="0"/>
            </c:ext>
          </c:extLst>
        </c:dLbl>
      </c:pivotFmt>
      <c:pivotFmt>
        <c:idx val="3"/>
        <c:spPr>
          <a:solidFill>
            <a:srgbClr val="C6BB8C"/>
          </a:solidFill>
          <a:ln w="19050">
            <a:solidFill>
              <a:schemeClr val="lt1"/>
            </a:solidFill>
          </a:ln>
          <a:effectLst/>
        </c:spPr>
        <c:dLbl>
          <c:idx val="0"/>
          <c:layout>
            <c:manualLayout>
              <c:x val="-0.15522553058351149"/>
              <c:y val="0.1046297483069764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1D92537E-16BD-4DBD-A807-66A7E9A40232}"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E4D2D0DC-703F-4AE5-BBF1-51FABC238C5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750708313778658"/>
                  <c:h val="0.16752325788418979"/>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5D4117"/>
          </a:solidFill>
          <a:ln w="19050">
            <a:solidFill>
              <a:schemeClr val="lt1"/>
            </a:solidFill>
          </a:ln>
          <a:effectLst/>
        </c:spPr>
        <c:dLbl>
          <c:idx val="0"/>
          <c:layout>
            <c:manualLayout>
              <c:x val="0.13964144548156646"/>
              <c:y val="-7.7086182247453339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267D16E3-6932-4E81-A7D3-8AA3D861FDD4}"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4048482C-4A76-417B-98E6-095D8DD324D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147711668491765"/>
                  <c:h val="0.19747646433791091"/>
                </c:manualLayout>
              </c15:layout>
              <c15:dlblFieldTable/>
              <c15:showDataLabelsRange val="0"/>
            </c:ext>
          </c:extLst>
        </c:dLbl>
      </c:pivotFmt>
      <c:pivotFmt>
        <c:idx val="6"/>
        <c:spPr>
          <a:solidFill>
            <a:srgbClr val="C6BB8C"/>
          </a:solidFill>
          <a:ln w="19050">
            <a:solidFill>
              <a:schemeClr val="lt1"/>
            </a:solidFill>
          </a:ln>
          <a:effectLst/>
        </c:spPr>
        <c:dLbl>
          <c:idx val="0"/>
          <c:layout>
            <c:manualLayout>
              <c:x val="-0.15522553058351149"/>
              <c:y val="0.1046297483069764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1D92537E-16BD-4DBD-A807-66A7E9A40232}"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E4D2D0DC-703F-4AE5-BBF1-51FABC238C5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750708313778658"/>
                  <c:h val="0.16752325788418979"/>
                </c:manualLayout>
              </c15:layout>
              <c15:dlblFieldTable/>
              <c15:showDataLabelsRange val="0"/>
            </c:ext>
          </c:extLst>
        </c:dLbl>
      </c:pivotFmt>
      <c:pivotFmt>
        <c:idx val="7"/>
        <c:spPr>
          <a:solidFill>
            <a:srgbClr val="908752"/>
          </a:solidFill>
          <a:ln w="19050">
            <a:solidFill>
              <a:schemeClr val="lt1"/>
            </a:solidFill>
          </a:ln>
          <a:effectLst/>
        </c:spPr>
        <c:dLbl>
          <c:idx val="0"/>
          <c:layout>
            <c:manualLayout>
              <c:x val="-0.15560484845462705"/>
              <c:y val="-1.8517091311712856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E05D2B0E-0A0C-4E20-9EE4-0B8CEB8E20C4}" type="CATEGORYNAME">
                  <a:rPr lang="en-US" sz="1000"/>
                  <a:pPr>
                    <a:defRPr sz="1000" b="1" i="0" u="none" strike="noStrike" kern="1200" baseline="0">
                      <a:solidFill>
                        <a:schemeClr val="tx1">
                          <a:lumMod val="75000"/>
                          <a:lumOff val="25000"/>
                        </a:schemeClr>
                      </a:solidFill>
                      <a:latin typeface="+mn-lt"/>
                      <a:ea typeface="+mn-ea"/>
                      <a:cs typeface="+mn-cs"/>
                    </a:defRPr>
                  </a:pPr>
                  <a:t>[CATEGORY NAME]</a:t>
                </a:fld>
                <a:r>
                  <a:rPr lang="en-US" sz="1000" baseline="0"/>
                  <a:t> </a:t>
                </a:r>
                <a:fld id="{5C6E9144-8BBC-4A74-9D5C-F0226177E2E7}" type="VALUE">
                  <a:rPr lang="en-US" sz="1000" baseline="0"/>
                  <a:pPr>
                    <a:defRPr sz="1000" b="1"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202760250995116"/>
                  <c:h val="0.19067156197356167"/>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5D4117"/>
          </a:solidFill>
          <a:ln w="19050">
            <a:solidFill>
              <a:schemeClr val="lt1"/>
            </a:solidFill>
          </a:ln>
          <a:effectLst/>
        </c:spPr>
        <c:dLbl>
          <c:idx val="0"/>
          <c:layout>
            <c:manualLayout>
              <c:x val="0.10706534650177708"/>
              <c:y val="-1.105861767279090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67D16E3-6932-4E81-A7D3-8AA3D861FDD4}" type="CATEGORYNAME">
                  <a:rPr lang="en-US" sz="1000"/>
                  <a:pPr>
                    <a:defRPr sz="1000" b="1"/>
                  </a:pPr>
                  <a:t>[CATEGORY NAME]</a:t>
                </a:fld>
                <a:r>
                  <a:rPr lang="en-US" sz="1000" baseline="0"/>
                  <a:t> </a:t>
                </a:r>
                <a:fld id="{4048482C-4A76-417B-98E6-095D8DD324D7}" type="VALUE">
                  <a:rPr lang="en-US" sz="1000" baseline="0"/>
                  <a:pPr>
                    <a:defRPr sz="1000" b="1"/>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4593714247257555"/>
                  <c:h val="0.19077645445073133"/>
                </c:manualLayout>
              </c15:layout>
              <c15:dlblFieldTable/>
              <c15:showDataLabelsRange val="0"/>
            </c:ext>
          </c:extLst>
        </c:dLbl>
      </c:pivotFmt>
      <c:pivotFmt>
        <c:idx val="10"/>
        <c:spPr>
          <a:solidFill>
            <a:srgbClr val="C6BB8C"/>
          </a:solidFill>
          <a:ln w="19050">
            <a:solidFill>
              <a:schemeClr val="lt1"/>
            </a:solidFill>
          </a:ln>
          <a:effectLst/>
        </c:spPr>
        <c:dLbl>
          <c:idx val="0"/>
          <c:layout>
            <c:manualLayout>
              <c:x val="-6.3756317217526157E-2"/>
              <c:y val="0.157092490304383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D92537E-16BD-4DBD-A807-66A7E9A40232}" type="CATEGORYNAME">
                  <a:rPr lang="en-US" sz="1000"/>
                  <a:pPr>
                    <a:defRPr sz="1000" b="1"/>
                  </a:pPr>
                  <a:t>[CATEGORY NAME]</a:t>
                </a:fld>
                <a:r>
                  <a:rPr lang="en-US" sz="1000" baseline="0"/>
                  <a:t> </a:t>
                </a:r>
                <a:fld id="{E4D2D0DC-703F-4AE5-BBF1-51FABC238C57}" type="VALUE">
                  <a:rPr lang="en-US" sz="1000" baseline="0"/>
                  <a:pPr>
                    <a:defRPr sz="1000" b="1"/>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439910920225877"/>
                  <c:h val="0.192846647937852"/>
                </c:manualLayout>
              </c15:layout>
              <c15:dlblFieldTable/>
              <c15:showDataLabelsRange val="0"/>
            </c:ext>
          </c:extLst>
        </c:dLbl>
      </c:pivotFmt>
      <c:pivotFmt>
        <c:idx val="11"/>
        <c:spPr>
          <a:solidFill>
            <a:srgbClr val="908752"/>
          </a:solidFill>
          <a:ln w="19050">
            <a:solidFill>
              <a:schemeClr val="lt1"/>
            </a:solidFill>
          </a:ln>
          <a:effectLst/>
        </c:spPr>
        <c:dLbl>
          <c:idx val="0"/>
          <c:layout>
            <c:manualLayout>
              <c:x val="-0.11839562512467189"/>
              <c:y val="-8.485133388177223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E05D2B0E-0A0C-4E20-9EE4-0B8CEB8E20C4}" type="CATEGORYNAME">
                  <a:rPr lang="en-US" sz="1000"/>
                  <a:pPr>
                    <a:defRPr sz="1000" b="1"/>
                  </a:pPr>
                  <a:t>[CATEGORY NAME]</a:t>
                </a:fld>
                <a:r>
                  <a:rPr lang="en-US" sz="1000" baseline="0"/>
                  <a:t> </a:t>
                </a:r>
                <a:fld id="{5C6E9144-8BBC-4A74-9D5C-F0226177E2E7}" type="VALUE">
                  <a:rPr lang="en-US" sz="1000" baseline="0"/>
                  <a:pPr>
                    <a:defRPr sz="1000" b="1"/>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202760250995116"/>
                  <c:h val="0.19067156197356167"/>
                </c:manualLayout>
              </c15:layout>
              <c15:dlblFieldTable/>
              <c15:showDataLabelsRange val="0"/>
            </c:ext>
          </c:extLst>
        </c:dLbl>
      </c:pivotFmt>
    </c:pivotFmts>
    <c:plotArea>
      <c:layout>
        <c:manualLayout>
          <c:layoutTarget val="inner"/>
          <c:xMode val="edge"/>
          <c:yMode val="edge"/>
          <c:x val="0.35920347696918092"/>
          <c:y val="0.21146341781904127"/>
          <c:w val="0.28159304606163804"/>
          <c:h val="0.60241313119442164"/>
        </c:manualLayout>
      </c:layout>
      <c:doughnutChart>
        <c:varyColors val="1"/>
        <c:ser>
          <c:idx val="0"/>
          <c:order val="0"/>
          <c:tx>
            <c:strRef>
              <c:f>PIVOT!$B$20</c:f>
              <c:strCache>
                <c:ptCount val="1"/>
                <c:pt idx="0">
                  <c:v>Total</c:v>
                </c:pt>
              </c:strCache>
            </c:strRef>
          </c:tx>
          <c:dPt>
            <c:idx val="0"/>
            <c:bubble3D val="0"/>
            <c:spPr>
              <a:solidFill>
                <a:srgbClr val="5D4117"/>
              </a:solidFill>
              <a:ln w="19050">
                <a:solidFill>
                  <a:schemeClr val="lt1"/>
                </a:solidFill>
              </a:ln>
              <a:effectLst/>
            </c:spPr>
            <c:extLst>
              <c:ext xmlns:c16="http://schemas.microsoft.com/office/drawing/2014/chart" uri="{C3380CC4-5D6E-409C-BE32-E72D297353CC}">
                <c16:uniqueId val="{00000001-B9B5-447B-A6EC-44C244A744D8}"/>
              </c:ext>
            </c:extLst>
          </c:dPt>
          <c:dPt>
            <c:idx val="1"/>
            <c:bubble3D val="0"/>
            <c:spPr>
              <a:solidFill>
                <a:srgbClr val="C6BB8C"/>
              </a:solidFill>
              <a:ln w="19050">
                <a:solidFill>
                  <a:schemeClr val="lt1"/>
                </a:solidFill>
              </a:ln>
              <a:effectLst/>
            </c:spPr>
            <c:extLst>
              <c:ext xmlns:c16="http://schemas.microsoft.com/office/drawing/2014/chart" uri="{C3380CC4-5D6E-409C-BE32-E72D297353CC}">
                <c16:uniqueId val="{00000003-B9B5-447B-A6EC-44C244A744D8}"/>
              </c:ext>
            </c:extLst>
          </c:dPt>
          <c:dPt>
            <c:idx val="2"/>
            <c:bubble3D val="0"/>
            <c:spPr>
              <a:solidFill>
                <a:srgbClr val="908752"/>
              </a:solidFill>
              <a:ln w="19050">
                <a:solidFill>
                  <a:schemeClr val="lt1"/>
                </a:solidFill>
              </a:ln>
              <a:effectLst/>
            </c:spPr>
            <c:extLst>
              <c:ext xmlns:c16="http://schemas.microsoft.com/office/drawing/2014/chart" uri="{C3380CC4-5D6E-409C-BE32-E72D297353CC}">
                <c16:uniqueId val="{00000005-B9B5-447B-A6EC-44C244A744D8}"/>
              </c:ext>
            </c:extLst>
          </c:dPt>
          <c:dLbls>
            <c:dLbl>
              <c:idx val="0"/>
              <c:layout>
                <c:manualLayout>
                  <c:x val="0.10706534650177708"/>
                  <c:y val="-1.1058617672790901E-2"/>
                </c:manualLayout>
              </c:layout>
              <c:tx>
                <c:rich>
                  <a:bodyPr/>
                  <a:lstStyle/>
                  <a:p>
                    <a:fld id="{267D16E3-6932-4E81-A7D3-8AA3D861FDD4}" type="CATEGORYNAME">
                      <a:rPr lang="en-US" sz="1000"/>
                      <a:pPr/>
                      <a:t>[CATEGORY NAME]</a:t>
                    </a:fld>
                    <a:r>
                      <a:rPr lang="en-US" sz="1000" baseline="0"/>
                      <a:t> </a:t>
                    </a:r>
                    <a:fld id="{4048482C-4A76-417B-98E6-095D8DD324D7}" type="VALUE">
                      <a:rPr lang="en-US" sz="1000" baseline="0"/>
                      <a:pPr/>
                      <a:t>[VALUE]</a:t>
                    </a:fld>
                    <a:endParaRPr lang="en-US" sz="1000" baseline="0"/>
                  </a:p>
                </c:rich>
              </c:tx>
              <c:showLegendKey val="0"/>
              <c:showVal val="1"/>
              <c:showCatName val="1"/>
              <c:showSerName val="0"/>
              <c:showPercent val="0"/>
              <c:showBubbleSize val="0"/>
              <c:extLst>
                <c:ext xmlns:c15="http://schemas.microsoft.com/office/drawing/2012/chart" uri="{CE6537A1-D6FC-4f65-9D91-7224C49458BB}">
                  <c15:layout>
                    <c:manualLayout>
                      <c:w val="0.14593714247257555"/>
                      <c:h val="0.19077645445073133"/>
                    </c:manualLayout>
                  </c15:layout>
                  <c15:dlblFieldTable/>
                  <c15:showDataLabelsRange val="0"/>
                </c:ext>
                <c:ext xmlns:c16="http://schemas.microsoft.com/office/drawing/2014/chart" uri="{C3380CC4-5D6E-409C-BE32-E72D297353CC}">
                  <c16:uniqueId val="{00000001-B9B5-447B-A6EC-44C244A744D8}"/>
                </c:ext>
              </c:extLst>
            </c:dLbl>
            <c:dLbl>
              <c:idx val="1"/>
              <c:layout>
                <c:manualLayout>
                  <c:x val="-6.3756317217526157E-2"/>
                  <c:y val="0.1570924903043836"/>
                </c:manualLayout>
              </c:layout>
              <c:tx>
                <c:rich>
                  <a:bodyPr/>
                  <a:lstStyle/>
                  <a:p>
                    <a:fld id="{1D92537E-16BD-4DBD-A807-66A7E9A40232}" type="CATEGORYNAME">
                      <a:rPr lang="en-US" sz="1000"/>
                      <a:pPr/>
                      <a:t>[CATEGORY NAME]</a:t>
                    </a:fld>
                    <a:r>
                      <a:rPr lang="en-US" sz="1000" baseline="0"/>
                      <a:t> </a:t>
                    </a:r>
                    <a:fld id="{E4D2D0DC-703F-4AE5-BBF1-51FABC238C57}" type="VALUE">
                      <a:rPr lang="en-US" sz="1000" baseline="0"/>
                      <a:pPr/>
                      <a:t>[VALUE]</a:t>
                    </a:fld>
                    <a:endParaRPr lang="en-US" sz="1000" baseline="0"/>
                  </a:p>
                </c:rich>
              </c:tx>
              <c:showLegendKey val="0"/>
              <c:showVal val="1"/>
              <c:showCatName val="1"/>
              <c:showSerName val="0"/>
              <c:showPercent val="0"/>
              <c:showBubbleSize val="0"/>
              <c:extLst>
                <c:ext xmlns:c15="http://schemas.microsoft.com/office/drawing/2012/chart" uri="{CE6537A1-D6FC-4f65-9D91-7224C49458BB}">
                  <c15:layout>
                    <c:manualLayout>
                      <c:w val="0.21439910920225877"/>
                      <c:h val="0.192846647937852"/>
                    </c:manualLayout>
                  </c15:layout>
                  <c15:dlblFieldTable/>
                  <c15:showDataLabelsRange val="0"/>
                </c:ext>
                <c:ext xmlns:c16="http://schemas.microsoft.com/office/drawing/2014/chart" uri="{C3380CC4-5D6E-409C-BE32-E72D297353CC}">
                  <c16:uniqueId val="{00000003-B9B5-447B-A6EC-44C244A744D8}"/>
                </c:ext>
              </c:extLst>
            </c:dLbl>
            <c:dLbl>
              <c:idx val="2"/>
              <c:layout>
                <c:manualLayout>
                  <c:x val="-0.11839562512467189"/>
                  <c:y val="-8.4851333881772236E-3"/>
                </c:manualLayout>
              </c:layout>
              <c:tx>
                <c:rich>
                  <a:bodyPr/>
                  <a:lstStyle/>
                  <a:p>
                    <a:fld id="{E05D2B0E-0A0C-4E20-9EE4-0B8CEB8E20C4}" type="CATEGORYNAME">
                      <a:rPr lang="en-US" sz="1000"/>
                      <a:pPr/>
                      <a:t>[CATEGORY NAME]</a:t>
                    </a:fld>
                    <a:r>
                      <a:rPr lang="en-US" sz="1000" baseline="0"/>
                      <a:t> </a:t>
                    </a:r>
                    <a:fld id="{5C6E9144-8BBC-4A74-9D5C-F0226177E2E7}" type="VALUE">
                      <a:rPr lang="en-US" sz="1000" baseline="0"/>
                      <a:pPr/>
                      <a:t>[VALUE]</a:t>
                    </a:fld>
                    <a:endParaRPr lang="en-US" sz="1000" baseline="0"/>
                  </a:p>
                </c:rich>
              </c:tx>
              <c:showLegendKey val="0"/>
              <c:showVal val="1"/>
              <c:showCatName val="1"/>
              <c:showSerName val="0"/>
              <c:showPercent val="0"/>
              <c:showBubbleSize val="0"/>
              <c:extLst>
                <c:ext xmlns:c15="http://schemas.microsoft.com/office/drawing/2012/chart" uri="{CE6537A1-D6FC-4f65-9D91-7224C49458BB}">
                  <c15:layout>
                    <c:manualLayout>
                      <c:w val="0.19202760250995116"/>
                      <c:h val="0.19067156197356167"/>
                    </c:manualLayout>
                  </c15:layout>
                  <c15:dlblFieldTable/>
                  <c15:showDataLabelsRange val="0"/>
                </c:ext>
                <c:ext xmlns:c16="http://schemas.microsoft.com/office/drawing/2014/chart" uri="{C3380CC4-5D6E-409C-BE32-E72D297353CC}">
                  <c16:uniqueId val="{00000005-B9B5-447B-A6EC-44C244A744D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PIVOT!$A$21:$A$24</c:f>
              <c:strCache>
                <c:ptCount val="3"/>
                <c:pt idx="0">
                  <c:v>LIGHT</c:v>
                </c:pt>
                <c:pt idx="1">
                  <c:v>MEDIUM</c:v>
                </c:pt>
                <c:pt idx="2">
                  <c:v>DOUBLE</c:v>
                </c:pt>
              </c:strCache>
            </c:strRef>
          </c:cat>
          <c:val>
            <c:numRef>
              <c:f>PIVOT!$B$21:$B$24</c:f>
              <c:numCache>
                <c:formatCode>"$"#,##0"K"</c:formatCode>
                <c:ptCount val="3"/>
                <c:pt idx="0">
                  <c:v>918.45999999999981</c:v>
                </c:pt>
                <c:pt idx="1">
                  <c:v>749.51</c:v>
                </c:pt>
                <c:pt idx="2">
                  <c:v>780.03999999999985</c:v>
                </c:pt>
              </c:numCache>
            </c:numRef>
          </c:val>
          <c:extLst>
            <c:ext xmlns:c16="http://schemas.microsoft.com/office/drawing/2014/chart" uri="{C3380CC4-5D6E-409C-BE32-E72D297353CC}">
              <c16:uniqueId val="{00000006-B9B5-447B-A6EC-44C244A744D8}"/>
            </c:ext>
          </c:extLst>
        </c:ser>
        <c:dLbls>
          <c:showLegendKey val="0"/>
          <c:showVal val="1"/>
          <c:showCatName val="0"/>
          <c:showSerName val="0"/>
          <c:showPercent val="0"/>
          <c:showBubbleSize val="0"/>
          <c:showLeaderLines val="1"/>
        </c:dLbls>
        <c:firstSliceAng val="0"/>
        <c:holeSize val="4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ANALYSIS.xlsx]PIVOT!PivotTable19</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baseline="0"/>
              <a:t>TOP PERFORMING COFFEE TYPES</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dLbl>
          <c:idx val="0"/>
          <c:layout>
            <c:manualLayout>
              <c:x val="-1.2665365499954695E-16"/>
              <c:y val="-6.319112179665851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4117"/>
          </a:solidFill>
          <a:ln>
            <a:noFill/>
          </a:ln>
          <a:effectLst/>
        </c:spPr>
        <c:dLbl>
          <c:idx val="0"/>
          <c:layout>
            <c:manualLayout>
              <c:x val="-1.2665365499954695E-16"/>
              <c:y val="-6.319112179665851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411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5D4117"/>
          </a:solidFill>
          <a:ln>
            <a:noFill/>
          </a:ln>
          <a:effectLst/>
        </c:spPr>
        <c:dLbl>
          <c:idx val="0"/>
          <c:layout>
            <c:manualLayout>
              <c:x val="-1.2665365499954695E-16"/>
              <c:y val="-6.319112179665851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PIVOT!$B$13</c:f>
              <c:strCache>
                <c:ptCount val="1"/>
                <c:pt idx="0">
                  <c:v>Total</c:v>
                </c:pt>
              </c:strCache>
            </c:strRef>
          </c:tx>
          <c:spPr>
            <a:solidFill>
              <a:srgbClr val="5D4117"/>
            </a:solidFill>
            <a:ln>
              <a:noFill/>
            </a:ln>
            <a:effectLst/>
          </c:spPr>
          <c:invertIfNegative val="0"/>
          <c:dPt>
            <c:idx val="3"/>
            <c:invertIfNegative val="0"/>
            <c:bubble3D val="0"/>
            <c:spPr>
              <a:solidFill>
                <a:srgbClr val="5D4117"/>
              </a:solidFill>
              <a:ln>
                <a:noFill/>
              </a:ln>
              <a:effectLst/>
            </c:spPr>
            <c:extLst>
              <c:ext xmlns:c16="http://schemas.microsoft.com/office/drawing/2014/chart" uri="{C3380CC4-5D6E-409C-BE32-E72D297353CC}">
                <c16:uniqueId val="{00000001-02E9-485E-9A85-1894762E3C21}"/>
              </c:ext>
            </c:extLst>
          </c:dPt>
          <c:dLbls>
            <c:dLbl>
              <c:idx val="3"/>
              <c:layout>
                <c:manualLayout>
                  <c:x val="-1.2665365499954695E-16"/>
                  <c:y val="-6.3191121796658516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2E9-485E-9A85-1894762E3C2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PIVOT!$A$14:$A$18</c:f>
              <c:strCache>
                <c:ptCount val="4"/>
                <c:pt idx="0">
                  <c:v>Ara</c:v>
                </c:pt>
                <c:pt idx="1">
                  <c:v>Rob</c:v>
                </c:pt>
                <c:pt idx="2">
                  <c:v>Exc</c:v>
                </c:pt>
                <c:pt idx="3">
                  <c:v>Lib</c:v>
                </c:pt>
              </c:strCache>
            </c:strRef>
          </c:cat>
          <c:val>
            <c:numRef>
              <c:f>PIVOT!$B$14:$B$18</c:f>
              <c:numCache>
                <c:formatCode>"$"#,##0"K"</c:formatCode>
                <c:ptCount val="4"/>
                <c:pt idx="0">
                  <c:v>374.91499999999996</c:v>
                </c:pt>
                <c:pt idx="1">
                  <c:v>574.59500000000003</c:v>
                </c:pt>
                <c:pt idx="2">
                  <c:v>579.41499999999996</c:v>
                </c:pt>
                <c:pt idx="3">
                  <c:v>919.08500000000004</c:v>
                </c:pt>
              </c:numCache>
            </c:numRef>
          </c:val>
          <c:extLst>
            <c:ext xmlns:c16="http://schemas.microsoft.com/office/drawing/2014/chart" uri="{C3380CC4-5D6E-409C-BE32-E72D297353CC}">
              <c16:uniqueId val="{00000002-02E9-485E-9A85-1894762E3C21}"/>
            </c:ext>
          </c:extLst>
        </c:ser>
        <c:dLbls>
          <c:showLegendKey val="0"/>
          <c:showVal val="0"/>
          <c:showCatName val="0"/>
          <c:showSerName val="0"/>
          <c:showPercent val="0"/>
          <c:showBubbleSize val="0"/>
        </c:dLbls>
        <c:gapWidth val="38"/>
        <c:axId val="838409295"/>
        <c:axId val="838413871"/>
      </c:barChart>
      <c:catAx>
        <c:axId val="83840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38413871"/>
        <c:crosses val="autoZero"/>
        <c:auto val="1"/>
        <c:lblAlgn val="ctr"/>
        <c:lblOffset val="100"/>
        <c:noMultiLvlLbl val="0"/>
      </c:catAx>
      <c:valAx>
        <c:axId val="838413871"/>
        <c:scaling>
          <c:orientation val="minMax"/>
        </c:scaling>
        <c:delete val="1"/>
        <c:axPos val="b"/>
        <c:numFmt formatCode="&quot;$&quot;#,##0&quot;K&quot;" sourceLinked="1"/>
        <c:majorTickMark val="none"/>
        <c:minorTickMark val="none"/>
        <c:tickLblPos val="nextTo"/>
        <c:crossAx val="8384092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baseline="0"/>
              <a:t>SALES DISTRIBUTION BY COUNTRY</a:t>
            </a:r>
            <a:endParaRPr lang="en-US" sz="105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dLbl>
          <c:idx val="0"/>
          <c:layout>
            <c:manualLayout>
              <c:x val="0"/>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117"/>
          </a:solidFill>
          <a:ln>
            <a:noFill/>
          </a:ln>
          <a:effectLst/>
        </c:spPr>
        <c:dLbl>
          <c:idx val="0"/>
          <c:layout>
            <c:manualLayout>
              <c:x val="5.5555555555555046E-3"/>
              <c:y val="-0.12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4117"/>
          </a:solidFill>
          <a:ln>
            <a:noFill/>
          </a:ln>
          <a:effectLst/>
        </c:spPr>
        <c:dLbl>
          <c:idx val="0"/>
          <c:layout>
            <c:manualLayout>
              <c:x val="0"/>
              <c:y val="-9.7222222222222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4117"/>
          </a:solidFill>
          <a:ln>
            <a:noFill/>
          </a:ln>
          <a:effectLst/>
        </c:spPr>
        <c:dLbl>
          <c:idx val="0"/>
          <c:layout>
            <c:manualLayout>
              <c:x val="0"/>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D4117"/>
          </a:solidFill>
          <a:ln>
            <a:noFill/>
          </a:ln>
          <a:effectLst/>
        </c:spPr>
        <c:dLbl>
          <c:idx val="0"/>
          <c:layout>
            <c:manualLayout>
              <c:x val="5.5555555555555046E-3"/>
              <c:y val="-0.12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D4117"/>
          </a:solidFill>
          <a:ln>
            <a:noFill/>
          </a:ln>
          <a:effectLst/>
        </c:spPr>
        <c:dLbl>
          <c:idx val="0"/>
          <c:layout>
            <c:manualLayout>
              <c:x val="0"/>
              <c:y val="-9.7222222222222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D4117"/>
          </a:solidFill>
          <a:ln>
            <a:noFill/>
          </a:ln>
          <a:effectLst/>
        </c:spPr>
        <c:dLbl>
          <c:idx val="0"/>
          <c:layout>
            <c:manualLayout>
              <c:x val="0"/>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5D4117"/>
          </a:solidFill>
          <a:ln>
            <a:noFill/>
          </a:ln>
          <a:effectLst/>
        </c:spPr>
        <c:dLbl>
          <c:idx val="0"/>
          <c:layout>
            <c:manualLayout>
              <c:x val="5.5555555555555046E-3"/>
              <c:y val="-0.12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5D4117"/>
          </a:solidFill>
          <a:ln>
            <a:noFill/>
          </a:ln>
          <a:effectLst/>
        </c:spPr>
        <c:dLbl>
          <c:idx val="0"/>
          <c:layout>
            <c:manualLayout>
              <c:x val="0"/>
              <c:y val="-9.7222222222222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396515546977241"/>
          <c:y val="0.2258143074581431"/>
          <c:w val="0.6774920126627626"/>
          <c:h val="0.61597190762113641"/>
        </c:manualLayout>
      </c:layout>
      <c:areaChart>
        <c:grouping val="standard"/>
        <c:varyColors val="0"/>
        <c:ser>
          <c:idx val="0"/>
          <c:order val="0"/>
          <c:tx>
            <c:strRef>
              <c:f>PIVOT!$H$20</c:f>
              <c:strCache>
                <c:ptCount val="1"/>
                <c:pt idx="0">
                  <c:v>Total</c:v>
                </c:pt>
              </c:strCache>
            </c:strRef>
          </c:tx>
          <c:spPr>
            <a:solidFill>
              <a:srgbClr val="5D4117"/>
            </a:solidFill>
            <a:ln>
              <a:noFill/>
            </a:ln>
            <a:effectLst/>
          </c:spPr>
          <c:dPt>
            <c:idx val="0"/>
            <c:bubble3D val="0"/>
            <c:extLst>
              <c:ext xmlns:c16="http://schemas.microsoft.com/office/drawing/2014/chart" uri="{C3380CC4-5D6E-409C-BE32-E72D297353CC}">
                <c16:uniqueId val="{00000000-B0F8-434E-A532-A7E8F396CE72}"/>
              </c:ext>
            </c:extLst>
          </c:dPt>
          <c:dPt>
            <c:idx val="1"/>
            <c:bubble3D val="0"/>
            <c:extLst>
              <c:ext xmlns:c16="http://schemas.microsoft.com/office/drawing/2014/chart" uri="{C3380CC4-5D6E-409C-BE32-E72D297353CC}">
                <c16:uniqueId val="{00000001-B0F8-434E-A532-A7E8F396CE72}"/>
              </c:ext>
            </c:extLst>
          </c:dPt>
          <c:dPt>
            <c:idx val="2"/>
            <c:bubble3D val="0"/>
            <c:extLst>
              <c:ext xmlns:c16="http://schemas.microsoft.com/office/drawing/2014/chart" uri="{C3380CC4-5D6E-409C-BE32-E72D297353CC}">
                <c16:uniqueId val="{00000002-B0F8-434E-A532-A7E8F396CE72}"/>
              </c:ext>
            </c:extLst>
          </c:dPt>
          <c:dLbls>
            <c:dLbl>
              <c:idx val="0"/>
              <c:layout>
                <c:manualLayout>
                  <c:x val="0"/>
                  <c:y val="-0.3425925925925926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0F8-434E-A532-A7E8F396CE72}"/>
                </c:ext>
              </c:extLst>
            </c:dLbl>
            <c:dLbl>
              <c:idx val="1"/>
              <c:layout>
                <c:manualLayout>
                  <c:x val="5.5555555555555046E-3"/>
                  <c:y val="-0.12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0F8-434E-A532-A7E8F396CE72}"/>
                </c:ext>
              </c:extLst>
            </c:dLbl>
            <c:dLbl>
              <c:idx val="2"/>
              <c:layout>
                <c:manualLayout>
                  <c:x val="0"/>
                  <c:y val="-9.72222222222223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0F8-434E-A532-A7E8F396CE7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PIVOT!$G$21:$G$24</c:f>
              <c:strCache>
                <c:ptCount val="3"/>
                <c:pt idx="0">
                  <c:v>United States</c:v>
                </c:pt>
                <c:pt idx="1">
                  <c:v>Ireland</c:v>
                </c:pt>
                <c:pt idx="2">
                  <c:v>United Kingdom</c:v>
                </c:pt>
              </c:strCache>
            </c:strRef>
          </c:cat>
          <c:val>
            <c:numRef>
              <c:f>PIVOT!$H$21:$H$24</c:f>
              <c:numCache>
                <c:formatCode>"$"#,##0"K"</c:formatCode>
                <c:ptCount val="3"/>
                <c:pt idx="0">
                  <c:v>1994.6949999999999</c:v>
                </c:pt>
                <c:pt idx="1">
                  <c:v>375.61500000000001</c:v>
                </c:pt>
                <c:pt idx="2">
                  <c:v>77.699999999999989</c:v>
                </c:pt>
              </c:numCache>
            </c:numRef>
          </c:val>
          <c:extLst>
            <c:ext xmlns:c16="http://schemas.microsoft.com/office/drawing/2014/chart" uri="{C3380CC4-5D6E-409C-BE32-E72D297353CC}">
              <c16:uniqueId val="{00000003-B0F8-434E-A532-A7E8F396CE72}"/>
            </c:ext>
          </c:extLst>
        </c:ser>
        <c:dLbls>
          <c:showLegendKey val="0"/>
          <c:showVal val="1"/>
          <c:showCatName val="0"/>
          <c:showSerName val="0"/>
          <c:showPercent val="0"/>
          <c:showBubbleSize val="0"/>
        </c:dLbls>
        <c:axId val="1019693279"/>
        <c:axId val="1019685375"/>
      </c:areaChart>
      <c:catAx>
        <c:axId val="101969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19685375"/>
        <c:crosses val="autoZero"/>
        <c:auto val="1"/>
        <c:lblAlgn val="ctr"/>
        <c:lblOffset val="100"/>
        <c:noMultiLvlLbl val="0"/>
      </c:catAx>
      <c:valAx>
        <c:axId val="1019685375"/>
        <c:scaling>
          <c:orientation val="minMax"/>
        </c:scaling>
        <c:delete val="1"/>
        <c:axPos val="l"/>
        <c:numFmt formatCode="&quot;$&quot;#,##0&quot;K&quot;" sourceLinked="1"/>
        <c:majorTickMark val="none"/>
        <c:minorTickMark val="none"/>
        <c:tickLblPos val="nextTo"/>
        <c:crossAx val="101969327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ANALYSIS.xlsx]PIVOT!PivotTable21</c:name>
    <c:fmtId val="2"/>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t>SALES PERCENTAGE</a:t>
            </a:r>
            <a:r>
              <a:rPr lang="en-US" sz="1050" b="1" baseline="0"/>
              <a:t> PER COUNTRY</a:t>
            </a:r>
            <a:endParaRPr lang="en-US" sz="1050" b="1"/>
          </a:p>
        </c:rich>
      </c:tx>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6BB8C"/>
          </a:solidFill>
          <a:ln w="19050">
            <a:solidFill>
              <a:schemeClr val="lt1"/>
            </a:solidFill>
          </a:ln>
          <a:effectLst/>
        </c:spPr>
        <c:dLbl>
          <c:idx val="0"/>
          <c:layout>
            <c:manualLayout>
              <c:x val="0.12516339869281029"/>
              <c:y val="-4.8611111111111112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U.K</a:t>
                </a:r>
              </a:p>
              <a:p>
                <a:pPr>
                  <a:defRPr sz="1000" b="1" i="0" u="none" strike="noStrike" kern="1200" baseline="0">
                    <a:solidFill>
                      <a:schemeClr val="tx1">
                        <a:lumMod val="75000"/>
                        <a:lumOff val="25000"/>
                      </a:schemeClr>
                    </a:solidFill>
                    <a:latin typeface="+mn-lt"/>
                    <a:ea typeface="+mn-ea"/>
                    <a:cs typeface="+mn-cs"/>
                  </a:defRPr>
                </a:pPr>
                <a:fld id="{E7352444-5E7D-4170-89F2-7656C4B37CBD}"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545159796201944"/>
                  <c:h val="0.15912029746281714"/>
                </c:manualLayout>
              </c15:layout>
              <c15:dlblFieldTable/>
              <c15:showDataLabelsRange val="0"/>
            </c:ext>
          </c:extLst>
        </c:dLbl>
      </c:pivotFmt>
      <c:pivotFmt>
        <c:idx val="2"/>
        <c:spPr>
          <a:solidFill>
            <a:srgbClr val="908752"/>
          </a:solidFill>
          <a:ln w="19050">
            <a:solidFill>
              <a:schemeClr val="lt1"/>
            </a:solidFill>
          </a:ln>
          <a:effectLst/>
        </c:spPr>
        <c:dLbl>
          <c:idx val="0"/>
          <c:layout>
            <c:manualLayout>
              <c:x val="7.6960870087317515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5D4117"/>
          </a:solidFill>
          <a:ln w="19050">
            <a:solidFill>
              <a:schemeClr val="lt1"/>
            </a:solidFill>
          </a:ln>
          <a:effectLst/>
        </c:spPr>
        <c:dLbl>
          <c:idx val="0"/>
          <c:layout>
            <c:manualLayout>
              <c:x val="-0.18450434228809637"/>
              <c:y val="1.018529454651501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U.S.A
</a:t>
                </a:r>
                <a:fld id="{1CDBA65E-82EA-4273-8EAC-FA5616B37111}"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457464875714066"/>
                  <c:h val="0.21930577427821521"/>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908752"/>
          </a:solidFill>
          <a:ln w="19050">
            <a:solidFill>
              <a:schemeClr val="lt1"/>
            </a:solidFill>
          </a:ln>
          <a:effectLst/>
        </c:spPr>
        <c:dLbl>
          <c:idx val="0"/>
          <c:layout>
            <c:manualLayout>
              <c:x val="7.6960870087317515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C6BB8C"/>
          </a:solidFill>
          <a:ln w="19050">
            <a:solidFill>
              <a:schemeClr val="lt1"/>
            </a:solidFill>
          </a:ln>
          <a:effectLst/>
        </c:spPr>
        <c:dLbl>
          <c:idx val="0"/>
          <c:layout>
            <c:manualLayout>
              <c:x val="0.12516339869281029"/>
              <c:y val="-4.8611111111111112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U.K</a:t>
                </a:r>
              </a:p>
              <a:p>
                <a:pPr>
                  <a:defRPr sz="1000" b="1" i="0" u="none" strike="noStrike" kern="1200" baseline="0">
                    <a:solidFill>
                      <a:schemeClr val="tx1">
                        <a:lumMod val="75000"/>
                        <a:lumOff val="25000"/>
                      </a:schemeClr>
                    </a:solidFill>
                    <a:latin typeface="+mn-lt"/>
                    <a:ea typeface="+mn-ea"/>
                    <a:cs typeface="+mn-cs"/>
                  </a:defRPr>
                </a:pPr>
                <a:fld id="{E7352444-5E7D-4170-89F2-7656C4B37CBD}"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545159796201944"/>
                  <c:h val="0.15912029746281714"/>
                </c:manualLayout>
              </c15:layout>
              <c15:dlblFieldTable/>
              <c15:showDataLabelsRange val="0"/>
            </c:ext>
          </c:extLst>
        </c:dLbl>
      </c:pivotFmt>
      <c:pivotFmt>
        <c:idx val="7"/>
        <c:spPr>
          <a:solidFill>
            <a:srgbClr val="5D4117"/>
          </a:solidFill>
          <a:ln w="19050">
            <a:solidFill>
              <a:schemeClr val="lt1"/>
            </a:solidFill>
          </a:ln>
          <a:effectLst/>
        </c:spPr>
        <c:dLbl>
          <c:idx val="0"/>
          <c:layout>
            <c:manualLayout>
              <c:x val="-0.18450434228809637"/>
              <c:y val="1.018529454651501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U.S.A
</a:t>
                </a:r>
                <a:fld id="{1CDBA65E-82EA-4273-8EAC-FA5616B37111}"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457464875714066"/>
                  <c:h val="0.21930577427821521"/>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908752"/>
          </a:solidFill>
          <a:ln w="19050">
            <a:solidFill>
              <a:schemeClr val="lt1"/>
            </a:solidFill>
          </a:ln>
          <a:effectLst/>
        </c:spPr>
        <c:dLbl>
          <c:idx val="0"/>
          <c:layout>
            <c:manualLayout>
              <c:x val="4.9118755747178937E-2"/>
              <c:y val="-0.1312306522432359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solidFill>
            <a:srgbClr val="C6BB8C"/>
          </a:solidFill>
          <a:ln w="19050">
            <a:solidFill>
              <a:schemeClr val="lt1"/>
            </a:solidFill>
          </a:ln>
          <a:effectLst/>
        </c:spPr>
        <c:dLbl>
          <c:idx val="0"/>
          <c:layout>
            <c:manualLayout>
              <c:x val="0.10196162254660152"/>
              <c:y val="-2.9919297470993696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U.K</a:t>
                </a:r>
              </a:p>
              <a:p>
                <a:pPr>
                  <a:defRPr sz="1000" b="1"/>
                </a:pPr>
                <a:fld id="{E7352444-5E7D-4170-89F2-7656C4B37CBD}" type="PERCENTAGE">
                  <a:rPr lang="en-US" sz="1000" baseline="0"/>
                  <a:pPr>
                    <a:defRPr sz="1000"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37965178946599"/>
                  <c:h val="0.19650354453356883"/>
                </c:manualLayout>
              </c15:layout>
              <c15:dlblFieldTable/>
              <c15:showDataLabelsRange val="0"/>
            </c:ext>
          </c:extLst>
        </c:dLbl>
      </c:pivotFmt>
      <c:pivotFmt>
        <c:idx val="11"/>
        <c:spPr>
          <a:solidFill>
            <a:srgbClr val="5D4117"/>
          </a:solidFill>
          <a:ln w="19050">
            <a:solidFill>
              <a:schemeClr val="lt1"/>
            </a:solidFill>
          </a:ln>
          <a:effectLst/>
        </c:spPr>
        <c:dLbl>
          <c:idx val="0"/>
          <c:layout>
            <c:manualLayout>
              <c:x val="-0.12417950076426061"/>
              <c:y val="3.9551598106311479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U.S.A
</a:t>
                </a:r>
                <a:fld id="{1CDBA65E-82EA-4273-8EAC-FA5616B37111}" type="PERCENTAGE">
                  <a:rPr lang="en-US" sz="1000" baseline="0"/>
                  <a:pPr>
                    <a:defRPr sz="1000" b="1"/>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910663719239272"/>
                  <c:h val="0.21930581107268132"/>
                </c:manualLayout>
              </c15:layout>
              <c15:dlblFieldTable/>
              <c15:showDataLabelsRange val="0"/>
            </c:ext>
          </c:extLst>
        </c:dLbl>
      </c:pivotFmt>
    </c:pivotFmts>
    <c:plotArea>
      <c:layout/>
      <c:doughnutChart>
        <c:varyColors val="1"/>
        <c:ser>
          <c:idx val="0"/>
          <c:order val="0"/>
          <c:tx>
            <c:strRef>
              <c:f>PIVOT!$H$14</c:f>
              <c:strCache>
                <c:ptCount val="1"/>
                <c:pt idx="0">
                  <c:v>Total</c:v>
                </c:pt>
              </c:strCache>
            </c:strRef>
          </c:tx>
          <c:dPt>
            <c:idx val="0"/>
            <c:bubble3D val="0"/>
            <c:spPr>
              <a:solidFill>
                <a:srgbClr val="908752"/>
              </a:solidFill>
              <a:ln w="19050">
                <a:solidFill>
                  <a:schemeClr val="lt1"/>
                </a:solidFill>
              </a:ln>
              <a:effectLst/>
            </c:spPr>
            <c:extLst>
              <c:ext xmlns:c16="http://schemas.microsoft.com/office/drawing/2014/chart" uri="{C3380CC4-5D6E-409C-BE32-E72D297353CC}">
                <c16:uniqueId val="{00000001-D5E7-4A05-B1BB-F2BC1A5132CC}"/>
              </c:ext>
            </c:extLst>
          </c:dPt>
          <c:dPt>
            <c:idx val="1"/>
            <c:bubble3D val="0"/>
            <c:spPr>
              <a:solidFill>
                <a:srgbClr val="C6BB8C"/>
              </a:solidFill>
              <a:ln w="19050">
                <a:solidFill>
                  <a:schemeClr val="lt1"/>
                </a:solidFill>
              </a:ln>
              <a:effectLst/>
            </c:spPr>
            <c:extLst>
              <c:ext xmlns:c16="http://schemas.microsoft.com/office/drawing/2014/chart" uri="{C3380CC4-5D6E-409C-BE32-E72D297353CC}">
                <c16:uniqueId val="{00000003-D5E7-4A05-B1BB-F2BC1A5132CC}"/>
              </c:ext>
            </c:extLst>
          </c:dPt>
          <c:dPt>
            <c:idx val="2"/>
            <c:bubble3D val="0"/>
            <c:spPr>
              <a:solidFill>
                <a:srgbClr val="5D4117"/>
              </a:solidFill>
              <a:ln w="19050">
                <a:solidFill>
                  <a:schemeClr val="lt1"/>
                </a:solidFill>
              </a:ln>
              <a:effectLst/>
            </c:spPr>
            <c:extLst>
              <c:ext xmlns:c16="http://schemas.microsoft.com/office/drawing/2014/chart" uri="{C3380CC4-5D6E-409C-BE32-E72D297353CC}">
                <c16:uniqueId val="{00000005-D5E7-4A05-B1BB-F2BC1A5132CC}"/>
              </c:ext>
            </c:extLst>
          </c:dPt>
          <c:dLbls>
            <c:dLbl>
              <c:idx val="0"/>
              <c:layout>
                <c:manualLayout>
                  <c:x val="4.9118755747178937E-2"/>
                  <c:y val="-0.1312306522432359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D5E7-4A05-B1BB-F2BC1A5132CC}"/>
                </c:ext>
              </c:extLst>
            </c:dLbl>
            <c:dLbl>
              <c:idx val="1"/>
              <c:layout>
                <c:manualLayout>
                  <c:x val="0.10196162254660152"/>
                  <c:y val="-2.9919297470993696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U.K</a:t>
                    </a:r>
                  </a:p>
                  <a:p>
                    <a:pPr>
                      <a:defRPr sz="1000" b="1"/>
                    </a:pPr>
                    <a:fld id="{E7352444-5E7D-4170-89F2-7656C4B37CBD}" type="PERCENTAGE">
                      <a:rPr lang="en-US" sz="1000" baseline="0"/>
                      <a:pPr>
                        <a:defRPr sz="1000"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37965178946599"/>
                      <c:h val="0.19650354453356883"/>
                    </c:manualLayout>
                  </c15:layout>
                  <c15:dlblFieldTable/>
                  <c15:showDataLabelsRange val="0"/>
                </c:ext>
                <c:ext xmlns:c16="http://schemas.microsoft.com/office/drawing/2014/chart" uri="{C3380CC4-5D6E-409C-BE32-E72D297353CC}">
                  <c16:uniqueId val="{00000003-D5E7-4A05-B1BB-F2BC1A5132CC}"/>
                </c:ext>
              </c:extLst>
            </c:dLbl>
            <c:dLbl>
              <c:idx val="2"/>
              <c:layout>
                <c:manualLayout>
                  <c:x val="-0.12417950076426061"/>
                  <c:y val="3.9551598106311479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baseline="0"/>
                      <a:t>U.S.A
</a:t>
                    </a:r>
                    <a:fld id="{1CDBA65E-82EA-4273-8EAC-FA5616B37111}" type="PERCENTAGE">
                      <a:rPr lang="en-US" sz="1000" baseline="0"/>
                      <a:pPr>
                        <a:defRPr sz="1000" b="1"/>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910663719239272"/>
                      <c:h val="0.21930581107268132"/>
                    </c:manualLayout>
                  </c15:layout>
                  <c15:dlblFieldTable/>
                  <c15:showDataLabelsRange val="0"/>
                </c:ext>
                <c:ext xmlns:c16="http://schemas.microsoft.com/office/drawing/2014/chart" uri="{C3380CC4-5D6E-409C-BE32-E72D297353CC}">
                  <c16:uniqueId val="{00000005-D5E7-4A05-B1BB-F2BC1A5132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PIVOT!$G$15:$G$18</c:f>
              <c:strCache>
                <c:ptCount val="3"/>
                <c:pt idx="0">
                  <c:v>Ireland</c:v>
                </c:pt>
                <c:pt idx="1">
                  <c:v>United Kingdom</c:v>
                </c:pt>
                <c:pt idx="2">
                  <c:v>United States</c:v>
                </c:pt>
              </c:strCache>
            </c:strRef>
          </c:cat>
          <c:val>
            <c:numRef>
              <c:f>PIVOT!$H$15:$H$18</c:f>
              <c:numCache>
                <c:formatCode>"$"#,##0"K"</c:formatCode>
                <c:ptCount val="3"/>
                <c:pt idx="0">
                  <c:v>42.433149999999998</c:v>
                </c:pt>
                <c:pt idx="1">
                  <c:v>10.100999999999999</c:v>
                </c:pt>
                <c:pt idx="2">
                  <c:v>198.90059999999997</c:v>
                </c:pt>
              </c:numCache>
            </c:numRef>
          </c:val>
          <c:extLst>
            <c:ext xmlns:c16="http://schemas.microsoft.com/office/drawing/2014/chart" uri="{C3380CC4-5D6E-409C-BE32-E72D297353CC}">
              <c16:uniqueId val="{00000006-D5E7-4A05-B1BB-F2BC1A5132CC}"/>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YEARLY</a:t>
            </a:r>
            <a:r>
              <a:rPr lang="en-US" sz="1100" b="1" baseline="0"/>
              <a:t> SALES TREND</a:t>
            </a:r>
            <a:endParaRPr lang="en-US" sz="11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D41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D41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D4117"/>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3333333333333333E-2"/>
          <c:y val="0.1416231884057971"/>
          <c:w val="0.93333333333333335"/>
          <c:h val="0.73671528015519794"/>
        </c:manualLayout>
      </c:layout>
      <c:lineChart>
        <c:grouping val="standard"/>
        <c:varyColors val="0"/>
        <c:ser>
          <c:idx val="0"/>
          <c:order val="0"/>
          <c:tx>
            <c:strRef>
              <c:f>PIVOT!$B$6</c:f>
              <c:strCache>
                <c:ptCount val="1"/>
                <c:pt idx="0">
                  <c:v>Total</c:v>
                </c:pt>
              </c:strCache>
            </c:strRef>
          </c:tx>
          <c:spPr>
            <a:ln w="28575" cap="rnd">
              <a:solidFill>
                <a:srgbClr val="5D4117"/>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PIVOT!$A$7:$A$11</c:f>
              <c:strCache>
                <c:ptCount val="4"/>
                <c:pt idx="0">
                  <c:v>2019</c:v>
                </c:pt>
                <c:pt idx="1">
                  <c:v>2020</c:v>
                </c:pt>
                <c:pt idx="2">
                  <c:v>2021</c:v>
                </c:pt>
                <c:pt idx="3">
                  <c:v>2022</c:v>
                </c:pt>
              </c:strCache>
            </c:strRef>
          </c:cat>
          <c:val>
            <c:numRef>
              <c:f>PIVOT!$B$7:$B$11</c:f>
              <c:numCache>
                <c:formatCode>"$"#,##0"K"</c:formatCode>
                <c:ptCount val="4"/>
                <c:pt idx="0">
                  <c:v>583.84</c:v>
                </c:pt>
                <c:pt idx="1">
                  <c:v>473.91999999999996</c:v>
                </c:pt>
                <c:pt idx="2">
                  <c:v>983.74999999999977</c:v>
                </c:pt>
                <c:pt idx="3">
                  <c:v>406.5</c:v>
                </c:pt>
              </c:numCache>
            </c:numRef>
          </c:val>
          <c:smooth val="0"/>
          <c:extLst>
            <c:ext xmlns:c16="http://schemas.microsoft.com/office/drawing/2014/chart" uri="{C3380CC4-5D6E-409C-BE32-E72D297353CC}">
              <c16:uniqueId val="{00000000-06A8-4FD6-A0E4-7725D09B0AB7}"/>
            </c:ext>
          </c:extLst>
        </c:ser>
        <c:dLbls>
          <c:dLblPos val="t"/>
          <c:showLegendKey val="0"/>
          <c:showVal val="1"/>
          <c:showCatName val="0"/>
          <c:showSerName val="0"/>
          <c:showPercent val="0"/>
          <c:showBubbleSize val="0"/>
        </c:dLbls>
        <c:smooth val="0"/>
        <c:axId val="2060059231"/>
        <c:axId val="2060067551"/>
      </c:lineChart>
      <c:catAx>
        <c:axId val="20600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60067551"/>
        <c:crosses val="autoZero"/>
        <c:auto val="1"/>
        <c:lblAlgn val="ctr"/>
        <c:lblOffset val="100"/>
        <c:noMultiLvlLbl val="0"/>
      </c:catAx>
      <c:valAx>
        <c:axId val="2060067551"/>
        <c:scaling>
          <c:orientation val="minMax"/>
        </c:scaling>
        <c:delete val="1"/>
        <c:axPos val="l"/>
        <c:numFmt formatCode="&quot;$&quot;#,##0&quot;K&quot;" sourceLinked="1"/>
        <c:majorTickMark val="none"/>
        <c:minorTickMark val="none"/>
        <c:tickLblPos val="nextTo"/>
        <c:crossAx val="20600592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PROFIT GENERATED PER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11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PIVOT!$E$6</c:f>
              <c:strCache>
                <c:ptCount val="1"/>
                <c:pt idx="0">
                  <c:v>Total</c:v>
                </c:pt>
              </c:strCache>
            </c:strRef>
          </c:tx>
          <c:spPr>
            <a:solidFill>
              <a:srgbClr val="5D41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PIVOT!$D$7:$D$11</c:f>
              <c:strCache>
                <c:ptCount val="4"/>
                <c:pt idx="0">
                  <c:v>2019</c:v>
                </c:pt>
                <c:pt idx="1">
                  <c:v>2020</c:v>
                </c:pt>
                <c:pt idx="2">
                  <c:v>2021</c:v>
                </c:pt>
                <c:pt idx="3">
                  <c:v>2022</c:v>
                </c:pt>
              </c:strCache>
            </c:strRef>
          </c:cat>
          <c:val>
            <c:numRef>
              <c:f>PIVOT!$E$7:$E$11</c:f>
              <c:numCache>
                <c:formatCode>"$"#,##0"K"</c:formatCode>
                <c:ptCount val="4"/>
                <c:pt idx="0">
                  <c:v>63.926900000000003</c:v>
                </c:pt>
                <c:pt idx="1">
                  <c:v>43.381050000000002</c:v>
                </c:pt>
                <c:pt idx="2">
                  <c:v>114.01939999999998</c:v>
                </c:pt>
                <c:pt idx="3">
                  <c:v>30.107399999999998</c:v>
                </c:pt>
              </c:numCache>
            </c:numRef>
          </c:val>
          <c:extLst>
            <c:ext xmlns:c16="http://schemas.microsoft.com/office/drawing/2014/chart" uri="{C3380CC4-5D6E-409C-BE32-E72D297353CC}">
              <c16:uniqueId val="{00000000-1ED6-4A9F-813A-D9B714E854CB}"/>
            </c:ext>
          </c:extLst>
        </c:ser>
        <c:dLbls>
          <c:dLblPos val="outEnd"/>
          <c:showLegendKey val="0"/>
          <c:showVal val="1"/>
          <c:showCatName val="0"/>
          <c:showSerName val="0"/>
          <c:showPercent val="0"/>
          <c:showBubbleSize val="0"/>
        </c:dLbls>
        <c:gapWidth val="130"/>
        <c:overlap val="-27"/>
        <c:axId val="644651167"/>
        <c:axId val="644648671"/>
      </c:barChart>
      <c:catAx>
        <c:axId val="64465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4648671"/>
        <c:crosses val="autoZero"/>
        <c:auto val="1"/>
        <c:lblAlgn val="ctr"/>
        <c:lblOffset val="100"/>
        <c:noMultiLvlLbl val="0"/>
      </c:catAx>
      <c:valAx>
        <c:axId val="644648671"/>
        <c:scaling>
          <c:orientation val="minMax"/>
        </c:scaling>
        <c:delete val="1"/>
        <c:axPos val="l"/>
        <c:numFmt formatCode="&quot;$&quot;#,##0&quot;K&quot;" sourceLinked="1"/>
        <c:majorTickMark val="none"/>
        <c:minorTickMark val="none"/>
        <c:tickLblPos val="nextTo"/>
        <c:crossAx val="644651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PROFIT DISTRIBUTION BY SIZE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411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35164123003144"/>
          <c:y val="0.16130496453900708"/>
          <c:w val="0.81543436700042127"/>
          <c:h val="0.77628368794326241"/>
        </c:manualLayout>
      </c:layout>
      <c:barChart>
        <c:barDir val="bar"/>
        <c:grouping val="clustered"/>
        <c:varyColors val="0"/>
        <c:ser>
          <c:idx val="0"/>
          <c:order val="0"/>
          <c:tx>
            <c:strRef>
              <c:f>PIVOT!$K$15</c:f>
              <c:strCache>
                <c:ptCount val="1"/>
                <c:pt idx="0">
                  <c:v>Total</c:v>
                </c:pt>
              </c:strCache>
            </c:strRef>
          </c:tx>
          <c:spPr>
            <a:solidFill>
              <a:srgbClr val="5D41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PIVOT!$J$16:$J$20</c:f>
              <c:strCache>
                <c:ptCount val="4"/>
                <c:pt idx="0">
                  <c:v>0.2ML</c:v>
                </c:pt>
                <c:pt idx="1">
                  <c:v>0.5ML</c:v>
                </c:pt>
                <c:pt idx="2">
                  <c:v>1.0ML</c:v>
                </c:pt>
                <c:pt idx="3">
                  <c:v>2.5ML</c:v>
                </c:pt>
              </c:strCache>
            </c:strRef>
          </c:cat>
          <c:val>
            <c:numRef>
              <c:f>PIVOT!$K$16:$K$20</c:f>
              <c:numCache>
                <c:formatCode>"$"#,##0"K"</c:formatCode>
                <c:ptCount val="4"/>
                <c:pt idx="0">
                  <c:v>13.401300000000001</c:v>
                </c:pt>
                <c:pt idx="1">
                  <c:v>33.6648</c:v>
                </c:pt>
                <c:pt idx="2">
                  <c:v>57.650500000000001</c:v>
                </c:pt>
                <c:pt idx="3">
                  <c:v>146.71814999999998</c:v>
                </c:pt>
              </c:numCache>
            </c:numRef>
          </c:val>
          <c:extLst>
            <c:ext xmlns:c16="http://schemas.microsoft.com/office/drawing/2014/chart" uri="{C3380CC4-5D6E-409C-BE32-E72D297353CC}">
              <c16:uniqueId val="{00000000-52AF-49D8-81E9-032C23A0C40C}"/>
            </c:ext>
          </c:extLst>
        </c:ser>
        <c:dLbls>
          <c:dLblPos val="outEnd"/>
          <c:showLegendKey val="0"/>
          <c:showVal val="1"/>
          <c:showCatName val="0"/>
          <c:showSerName val="0"/>
          <c:showPercent val="0"/>
          <c:showBubbleSize val="0"/>
        </c:dLbls>
        <c:gapWidth val="38"/>
        <c:axId val="644637855"/>
        <c:axId val="644642431"/>
      </c:barChart>
      <c:catAx>
        <c:axId val="64463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44642431"/>
        <c:crosses val="autoZero"/>
        <c:auto val="1"/>
        <c:lblAlgn val="ctr"/>
        <c:lblOffset val="100"/>
        <c:noMultiLvlLbl val="0"/>
      </c:catAx>
      <c:valAx>
        <c:axId val="644642431"/>
        <c:scaling>
          <c:orientation val="minMax"/>
        </c:scaling>
        <c:delete val="1"/>
        <c:axPos val="b"/>
        <c:numFmt formatCode="&quot;$&quot;#,##0&quot;K&quot;" sourceLinked="1"/>
        <c:majorTickMark val="none"/>
        <c:minorTickMark val="none"/>
        <c:tickLblPos val="nextTo"/>
        <c:crossAx val="6446378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PROFIT DISTRIBUTION PER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5D4117"/>
          </a:solidFill>
          <a:ln w="19050">
            <a:solidFill>
              <a:schemeClr val="lt1"/>
            </a:solidFill>
          </a:ln>
          <a:effectLst/>
        </c:spPr>
        <c:dLbl>
          <c:idx val="0"/>
          <c:layout>
            <c:manualLayout>
              <c:x val="-0.12622965043102002"/>
              <c:y val="-7.349060698121404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aseline="0"/>
                  <a:t>U.S.A </a:t>
                </a:r>
                <a:fld id="{15C03A8D-928F-46EC-A807-0488A90B0A0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253312085989251"/>
                  <c:h val="0.16782152230971129"/>
                </c:manualLayout>
              </c15:layout>
              <c15:dlblFieldTable/>
              <c15:showDataLabelsRange val="0"/>
            </c:ext>
          </c:extLst>
        </c:dLbl>
      </c:pivotFmt>
      <c:pivotFmt>
        <c:idx val="2"/>
        <c:spPr>
          <a:solidFill>
            <a:srgbClr val="996600"/>
          </a:solidFill>
          <a:ln w="19050">
            <a:solidFill>
              <a:schemeClr val="lt1"/>
            </a:solidFill>
          </a:ln>
          <a:effectLst/>
        </c:spPr>
        <c:dLbl>
          <c:idx val="0"/>
          <c:layout>
            <c:manualLayout>
              <c:x val="0.10205698539443134"/>
              <c:y val="-9.711283681467038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73492802-8228-40F6-9D23-776D0A004104}" type="CATEGORYNAME">
                  <a:rPr lang="en-US"/>
                  <a:pPr>
                    <a:defRPr sz="900" b="1" i="0" u="none" strike="noStrike" kern="1200" baseline="0">
                      <a:solidFill>
                        <a:schemeClr val="tx1">
                          <a:lumMod val="75000"/>
                          <a:lumOff val="25000"/>
                        </a:schemeClr>
                      </a:solidFill>
                      <a:latin typeface="+mn-lt"/>
                      <a:ea typeface="+mn-ea"/>
                      <a:cs typeface="+mn-cs"/>
                    </a:defRPr>
                  </a:pPr>
                  <a:t>[CATEGORY NAME]</a:t>
                </a:fld>
                <a:fld id="{6476A41F-6EE9-4509-B2E0-47846A50C16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21575428071491"/>
                  <c:h val="0.17314986112172873"/>
                </c:manualLayout>
              </c15:layout>
              <c15:dlblFieldTable/>
              <c15:showDataLabelsRange val="0"/>
            </c:ext>
          </c:extLst>
        </c:dLbl>
      </c:pivotFmt>
      <c:pivotFmt>
        <c:idx val="3"/>
        <c:spPr>
          <a:solidFill>
            <a:srgbClr val="C6BB8C"/>
          </a:solidFill>
          <a:ln w="19050">
            <a:solidFill>
              <a:schemeClr val="lt1"/>
            </a:solidFill>
          </a:ln>
          <a:effectLst/>
        </c:spPr>
        <c:dLbl>
          <c:idx val="0"/>
          <c:layout>
            <c:manualLayout>
              <c:x val="0.12030527434070741"/>
              <c:y val="5.4277195933032053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aseline="0"/>
                  <a:t>U.K </a:t>
                </a:r>
                <a:fld id="{18070F9B-EB06-4120-9C31-B0D8051D550B}"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594675665541808"/>
                  <c:h val="0.18321280228320974"/>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996600"/>
          </a:solidFill>
          <a:ln w="19050">
            <a:solidFill>
              <a:schemeClr val="lt1"/>
            </a:solidFill>
          </a:ln>
          <a:effectLst/>
        </c:spPr>
        <c:dLbl>
          <c:idx val="0"/>
          <c:layout>
            <c:manualLayout>
              <c:x val="0.10205698539443134"/>
              <c:y val="-9.711283681467038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73492802-8228-40F6-9D23-776D0A004104}" type="CATEGORYNAME">
                  <a:rPr lang="en-US"/>
                  <a:pPr>
                    <a:defRPr sz="900" b="1" i="0" u="none" strike="noStrike" kern="1200" baseline="0">
                      <a:solidFill>
                        <a:schemeClr val="tx1">
                          <a:lumMod val="75000"/>
                          <a:lumOff val="25000"/>
                        </a:schemeClr>
                      </a:solidFill>
                      <a:latin typeface="+mn-lt"/>
                      <a:ea typeface="+mn-ea"/>
                      <a:cs typeface="+mn-cs"/>
                    </a:defRPr>
                  </a:pPr>
                  <a:t>[CATEGORY NAME]</a:t>
                </a:fld>
                <a:fld id="{6476A41F-6EE9-4509-B2E0-47846A50C16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21575428071491"/>
                  <c:h val="0.17314986112172873"/>
                </c:manualLayout>
              </c15:layout>
              <c15:dlblFieldTable/>
              <c15:showDataLabelsRange val="0"/>
            </c:ext>
          </c:extLst>
        </c:dLbl>
      </c:pivotFmt>
      <c:pivotFmt>
        <c:idx val="6"/>
        <c:spPr>
          <a:solidFill>
            <a:srgbClr val="C6BB8C"/>
          </a:solidFill>
          <a:ln w="19050">
            <a:solidFill>
              <a:schemeClr val="lt1"/>
            </a:solidFill>
          </a:ln>
          <a:effectLst/>
        </c:spPr>
        <c:dLbl>
          <c:idx val="0"/>
          <c:layout>
            <c:manualLayout>
              <c:x val="0.12030527434070741"/>
              <c:y val="5.4277195933032053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aseline="0"/>
                  <a:t>U.K </a:t>
                </a:r>
                <a:fld id="{18070F9B-EB06-4120-9C31-B0D8051D550B}"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594675665541808"/>
                  <c:h val="0.18321280228320974"/>
                </c:manualLayout>
              </c15:layout>
              <c15:dlblFieldTable/>
              <c15:showDataLabelsRange val="0"/>
            </c:ext>
          </c:extLst>
        </c:dLbl>
      </c:pivotFmt>
      <c:pivotFmt>
        <c:idx val="7"/>
        <c:spPr>
          <a:solidFill>
            <a:srgbClr val="5D4117"/>
          </a:solidFill>
          <a:ln w="19050">
            <a:solidFill>
              <a:schemeClr val="lt1"/>
            </a:solidFill>
          </a:ln>
          <a:effectLst/>
        </c:spPr>
        <c:dLbl>
          <c:idx val="0"/>
          <c:layout>
            <c:manualLayout>
              <c:x val="-0.12622965043102002"/>
              <c:y val="-7.349060698121404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aseline="0"/>
                  <a:t>U.S.A </a:t>
                </a:r>
                <a:fld id="{15C03A8D-928F-46EC-A807-0488A90B0A0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253312085989251"/>
                  <c:h val="0.16782152230971129"/>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996600"/>
          </a:solidFill>
          <a:ln w="19050">
            <a:solidFill>
              <a:schemeClr val="lt1"/>
            </a:solidFill>
          </a:ln>
          <a:effectLst/>
        </c:spPr>
        <c:dLbl>
          <c:idx val="0"/>
          <c:layout>
            <c:manualLayout>
              <c:x val="0.13019160004977723"/>
              <c:y val="-7.711286089238846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a:t>IRELAND </a:t>
                </a:r>
                <a:fld id="{6476A41F-6EE9-4509-B2E0-47846A50C16E}" type="VALUE">
                  <a:rPr lang="en-US" sz="1050" baseline="0"/>
                  <a:pPr>
                    <a:defRPr sz="1050" b="1"/>
                  </a:pPr>
                  <a:t>[VALUE]</a:t>
                </a:fld>
                <a:endParaRPr lang="en-US" sz="105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374775337759087"/>
                  <c:h val="9.3149606299212581E-2"/>
                </c:manualLayout>
              </c15:layout>
              <c15:dlblFieldTable/>
              <c15:showDataLabelsRange val="0"/>
            </c:ext>
          </c:extLst>
        </c:dLbl>
      </c:pivotFmt>
      <c:pivotFmt>
        <c:idx val="10"/>
        <c:spPr>
          <a:solidFill>
            <a:srgbClr val="C6BB8C"/>
          </a:solidFill>
          <a:ln w="19050">
            <a:solidFill>
              <a:schemeClr val="lt1"/>
            </a:solidFill>
          </a:ln>
          <a:effectLst/>
        </c:spPr>
        <c:dLbl>
          <c:idx val="0"/>
          <c:layout>
            <c:manualLayout>
              <c:x val="9.0947513121430595E-2"/>
              <c:y val="-1.1238845144356956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baseline="0"/>
                  <a:t>U.K </a:t>
                </a:r>
                <a:fld id="{18070F9B-EB06-4120-9C31-B0D8051D550B}" type="VALUE">
                  <a:rPr lang="en-US" sz="1050" baseline="0"/>
                  <a:pPr>
                    <a:defRPr sz="1050"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594671368023045"/>
                  <c:h val="9.6545931758530185E-2"/>
                </c:manualLayout>
              </c15:layout>
              <c15:dlblFieldTable/>
              <c15:showDataLabelsRange val="0"/>
            </c:ext>
          </c:extLst>
        </c:dLbl>
      </c:pivotFmt>
      <c:pivotFmt>
        <c:idx val="11"/>
        <c:spPr>
          <a:solidFill>
            <a:srgbClr val="5D4117"/>
          </a:solidFill>
          <a:ln w="19050">
            <a:solidFill>
              <a:schemeClr val="lt1"/>
            </a:solidFill>
          </a:ln>
          <a:effectLst/>
        </c:spPr>
        <c:dLbl>
          <c:idx val="0"/>
          <c:layout>
            <c:manualLayout>
              <c:x val="-0.13234585328886256"/>
              <c:y val="-9.6824146981627363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baseline="0"/>
                  <a:t>U.S.A </a:t>
                </a:r>
                <a:fld id="{15C03A8D-928F-46EC-A807-0488A90B0A0E}" type="VALUE">
                  <a:rPr lang="en-US" sz="1050" baseline="0"/>
                  <a:pPr>
                    <a:defRPr sz="1050"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901631746176071"/>
                  <c:h val="0.12115485564304462"/>
                </c:manualLayout>
              </c15:layout>
              <c15:dlblFieldTable/>
              <c15:showDataLabelsRange val="0"/>
            </c:ext>
          </c:extLst>
        </c:dLbl>
      </c:pivotFmt>
    </c:pivotFmts>
    <c:plotArea>
      <c:layout/>
      <c:doughnutChart>
        <c:varyColors val="1"/>
        <c:ser>
          <c:idx val="0"/>
          <c:order val="0"/>
          <c:tx>
            <c:strRef>
              <c:f>PIVOT!$E$13</c:f>
              <c:strCache>
                <c:ptCount val="1"/>
                <c:pt idx="0">
                  <c:v>Total</c:v>
                </c:pt>
              </c:strCache>
            </c:strRef>
          </c:tx>
          <c:dPt>
            <c:idx val="0"/>
            <c:bubble3D val="0"/>
            <c:spPr>
              <a:solidFill>
                <a:srgbClr val="996600"/>
              </a:solidFill>
              <a:ln w="19050">
                <a:solidFill>
                  <a:schemeClr val="lt1"/>
                </a:solidFill>
              </a:ln>
              <a:effectLst/>
            </c:spPr>
            <c:extLst>
              <c:ext xmlns:c16="http://schemas.microsoft.com/office/drawing/2014/chart" uri="{C3380CC4-5D6E-409C-BE32-E72D297353CC}">
                <c16:uniqueId val="{00000001-13BD-4D47-AEA2-CC56477C61BE}"/>
              </c:ext>
            </c:extLst>
          </c:dPt>
          <c:dPt>
            <c:idx val="1"/>
            <c:bubble3D val="0"/>
            <c:spPr>
              <a:solidFill>
                <a:srgbClr val="C6BB8C"/>
              </a:solidFill>
              <a:ln w="19050">
                <a:solidFill>
                  <a:schemeClr val="lt1"/>
                </a:solidFill>
              </a:ln>
              <a:effectLst/>
            </c:spPr>
            <c:extLst>
              <c:ext xmlns:c16="http://schemas.microsoft.com/office/drawing/2014/chart" uri="{C3380CC4-5D6E-409C-BE32-E72D297353CC}">
                <c16:uniqueId val="{00000003-13BD-4D47-AEA2-CC56477C61BE}"/>
              </c:ext>
            </c:extLst>
          </c:dPt>
          <c:dPt>
            <c:idx val="2"/>
            <c:bubble3D val="0"/>
            <c:spPr>
              <a:solidFill>
                <a:srgbClr val="5D4117"/>
              </a:solidFill>
              <a:ln w="19050">
                <a:solidFill>
                  <a:schemeClr val="lt1"/>
                </a:solidFill>
              </a:ln>
              <a:effectLst/>
            </c:spPr>
            <c:extLst>
              <c:ext xmlns:c16="http://schemas.microsoft.com/office/drawing/2014/chart" uri="{C3380CC4-5D6E-409C-BE32-E72D297353CC}">
                <c16:uniqueId val="{00000005-13BD-4D47-AEA2-CC56477C61BE}"/>
              </c:ext>
            </c:extLst>
          </c:dPt>
          <c:dLbls>
            <c:dLbl>
              <c:idx val="0"/>
              <c:layout>
                <c:manualLayout>
                  <c:x val="0.13019160004977723"/>
                  <c:y val="-7.711286089238846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a:t>IRELAND </a:t>
                    </a:r>
                    <a:fld id="{6476A41F-6EE9-4509-B2E0-47846A50C16E}" type="VALUE">
                      <a:rPr lang="en-US" sz="1050" baseline="0"/>
                      <a:pPr>
                        <a:defRPr sz="1050" b="1"/>
                      </a:pPr>
                      <a:t>[VALUE]</a:t>
                    </a:fld>
                    <a:endParaRPr lang="en-US" sz="105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374775337759087"/>
                      <c:h val="9.3149606299212581E-2"/>
                    </c:manualLayout>
                  </c15:layout>
                  <c15:dlblFieldTable/>
                  <c15:showDataLabelsRange val="0"/>
                </c:ext>
                <c:ext xmlns:c16="http://schemas.microsoft.com/office/drawing/2014/chart" uri="{C3380CC4-5D6E-409C-BE32-E72D297353CC}">
                  <c16:uniqueId val="{00000001-13BD-4D47-AEA2-CC56477C61BE}"/>
                </c:ext>
              </c:extLst>
            </c:dLbl>
            <c:dLbl>
              <c:idx val="1"/>
              <c:layout>
                <c:manualLayout>
                  <c:x val="9.0947513121430595E-2"/>
                  <c:y val="-1.1238845144356956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baseline="0"/>
                      <a:t>U.K </a:t>
                    </a:r>
                    <a:fld id="{18070F9B-EB06-4120-9C31-B0D8051D550B}" type="VALUE">
                      <a:rPr lang="en-US" sz="1050" baseline="0"/>
                      <a:pPr>
                        <a:defRPr sz="1050"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1594671368023045"/>
                      <c:h val="9.6545931758530185E-2"/>
                    </c:manualLayout>
                  </c15:layout>
                  <c15:dlblFieldTable/>
                  <c15:showDataLabelsRange val="0"/>
                </c:ext>
                <c:ext xmlns:c16="http://schemas.microsoft.com/office/drawing/2014/chart" uri="{C3380CC4-5D6E-409C-BE32-E72D297353CC}">
                  <c16:uniqueId val="{00000003-13BD-4D47-AEA2-CC56477C61BE}"/>
                </c:ext>
              </c:extLst>
            </c:dLbl>
            <c:dLbl>
              <c:idx val="2"/>
              <c:layout>
                <c:manualLayout>
                  <c:x val="-0.13234585328886256"/>
                  <c:y val="-9.6824146981627363E-2"/>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r>
                      <a:rPr lang="en-US" sz="1050" baseline="0"/>
                      <a:t>U.S.A </a:t>
                    </a:r>
                    <a:fld id="{15C03A8D-928F-46EC-A807-0488A90B0A0E}" type="VALUE">
                      <a:rPr lang="en-US" sz="1050" baseline="0"/>
                      <a:pPr>
                        <a:defRPr sz="1050" b="1"/>
                      </a:pPr>
                      <a:t>[VALUE]</a:t>
                    </a:fld>
                    <a:endParaRPr lang="en-US" sz="1050"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901631746176071"/>
                      <c:h val="0.12115485564304462"/>
                    </c:manualLayout>
                  </c15:layout>
                  <c15:dlblFieldTable/>
                  <c15:showDataLabelsRange val="0"/>
                </c:ext>
                <c:ext xmlns:c16="http://schemas.microsoft.com/office/drawing/2014/chart" uri="{C3380CC4-5D6E-409C-BE32-E72D297353CC}">
                  <c16:uniqueId val="{00000005-13BD-4D47-AEA2-CC56477C61B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PIVOT!$D$14:$D$17</c:f>
              <c:strCache>
                <c:ptCount val="3"/>
                <c:pt idx="0">
                  <c:v>Ireland</c:v>
                </c:pt>
                <c:pt idx="1">
                  <c:v>United Kingdom</c:v>
                </c:pt>
                <c:pt idx="2">
                  <c:v>United States</c:v>
                </c:pt>
              </c:strCache>
            </c:strRef>
          </c:cat>
          <c:val>
            <c:numRef>
              <c:f>PIVOT!$E$14:$E$17</c:f>
              <c:numCache>
                <c:formatCode>"$"#,##0"K"</c:formatCode>
                <c:ptCount val="3"/>
                <c:pt idx="0">
                  <c:v>42.433149999999998</c:v>
                </c:pt>
                <c:pt idx="1">
                  <c:v>10.100999999999999</c:v>
                </c:pt>
                <c:pt idx="2">
                  <c:v>198.90059999999997</c:v>
                </c:pt>
              </c:numCache>
            </c:numRef>
          </c:val>
          <c:extLst>
            <c:ext xmlns:c16="http://schemas.microsoft.com/office/drawing/2014/chart" uri="{C3380CC4-5D6E-409C-BE32-E72D297353CC}">
              <c16:uniqueId val="{00000006-13BD-4D47-AEA2-CC56477C61BE}"/>
            </c:ext>
          </c:extLst>
        </c:ser>
        <c:dLbls>
          <c:showLegendKey val="0"/>
          <c:showVal val="0"/>
          <c:showCatName val="0"/>
          <c:showSerName val="0"/>
          <c:showPercent val="0"/>
          <c:showBubbleSize val="0"/>
          <c:showLeaderLines val="1"/>
        </c:dLbls>
        <c:firstSliceAng val="16"/>
        <c:holeSize val="4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ANALYSIS.xlsx]PIVOT!PivotTable6</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TOP PERFORMING COFFEE TYPE</a:t>
            </a: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4117"/>
          </a:solidFill>
          <a:ln>
            <a:noFill/>
          </a:ln>
          <a:effectLst/>
        </c:spPr>
        <c:dLbl>
          <c:idx val="0"/>
          <c:layout>
            <c:manualLayout>
              <c:x val="8.3333333333333315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117"/>
          </a:solidFill>
          <a:ln>
            <a:noFill/>
          </a:ln>
          <a:effectLst/>
        </c:spPr>
        <c:dLbl>
          <c:idx val="0"/>
          <c:layout>
            <c:manualLayout>
              <c:x val="1.528176199919132E-2"/>
              <c:y val="-0.251205073124148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4117"/>
          </a:solidFill>
          <a:ln>
            <a:noFill/>
          </a:ln>
          <a:effectLst/>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4117"/>
          </a:solidFill>
          <a:ln>
            <a:noFill/>
          </a:ln>
          <a:effectLst/>
        </c:spPr>
        <c:dLbl>
          <c:idx val="0"/>
          <c:layout>
            <c:manualLayout>
              <c:x val="-5.5555555555554534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D4117"/>
          </a:solidFill>
          <a:ln>
            <a:noFill/>
          </a:ln>
          <a:effectLst/>
        </c:spPr>
        <c:dLbl>
          <c:idx val="0"/>
          <c:layout>
            <c:manualLayout>
              <c:x val="8.3333333333333315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D4117"/>
          </a:solidFill>
          <a:ln>
            <a:noFill/>
          </a:ln>
          <a:effectLst/>
        </c:spPr>
        <c:dLbl>
          <c:idx val="0"/>
          <c:layout>
            <c:manualLayout>
              <c:x val="1.528176199919132E-2"/>
              <c:y val="-0.251205073124148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D4117"/>
          </a:solidFill>
          <a:ln>
            <a:noFill/>
          </a:ln>
          <a:effectLst/>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D4117"/>
          </a:solidFill>
          <a:ln>
            <a:noFill/>
          </a:ln>
          <a:effectLst/>
        </c:spPr>
        <c:dLbl>
          <c:idx val="0"/>
          <c:layout>
            <c:manualLayout>
              <c:x val="-5.5555555555554534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D41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3333333333333315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528176199919132E-2"/>
              <c:y val="-0.251205073124148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5555555555554534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D411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rgbClr val="5D4117"/>
          </a:solidFill>
          <a:ln>
            <a:noFill/>
          </a:ln>
          <a:effectLst/>
        </c:spPr>
        <c:dLbl>
          <c:idx val="0"/>
          <c:layout>
            <c:manualLayout>
              <c:x val="-5.5961898725243639E-18"/>
              <c:y val="-0.361248134283973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rgbClr val="5D4117"/>
          </a:solidFill>
          <a:ln>
            <a:noFill/>
          </a:ln>
          <a:effectLst/>
        </c:spPr>
        <c:dLbl>
          <c:idx val="0"/>
          <c:layout>
            <c:manualLayout>
              <c:x val="-4.4769518980194911E-17"/>
              <c:y val="-0.256157767946817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5D4117"/>
          </a:solidFill>
          <a:ln>
            <a:noFill/>
          </a:ln>
          <a:effectLst/>
        </c:spPr>
        <c:dLbl>
          <c:idx val="0"/>
          <c:layout>
            <c:manualLayout>
              <c:x val="-8.9539037960389822E-17"/>
              <c:y val="-0.1773399931939506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5D4117"/>
          </a:solidFill>
          <a:ln>
            <a:noFill/>
          </a:ln>
          <a:effectLst/>
        </c:spPr>
        <c:dLbl>
          <c:idx val="0"/>
          <c:layout>
            <c:manualLayout>
              <c:x val="-2.4420019724453726E-3"/>
              <c:y val="-0.17733999319395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34473970466491E-2"/>
          <c:y val="0.15482511039212876"/>
          <c:w val="0.86005726449240483"/>
          <c:h val="0.71175993169614371"/>
        </c:manualLayout>
      </c:layout>
      <c:areaChart>
        <c:grouping val="standard"/>
        <c:varyColors val="0"/>
        <c:ser>
          <c:idx val="0"/>
          <c:order val="0"/>
          <c:tx>
            <c:strRef>
              <c:f>PIVOT!$E$20</c:f>
              <c:strCache>
                <c:ptCount val="1"/>
                <c:pt idx="0">
                  <c:v>Total</c:v>
                </c:pt>
              </c:strCache>
            </c:strRef>
          </c:tx>
          <c:spPr>
            <a:solidFill>
              <a:srgbClr val="5D4117"/>
            </a:solidFill>
            <a:ln>
              <a:noFill/>
            </a:ln>
            <a:effectLst/>
          </c:spPr>
          <c:dPt>
            <c:idx val="0"/>
            <c:bubble3D val="0"/>
            <c:extLst>
              <c:ext xmlns:c16="http://schemas.microsoft.com/office/drawing/2014/chart" uri="{C3380CC4-5D6E-409C-BE32-E72D297353CC}">
                <c16:uniqueId val="{00000000-432F-471A-901D-2ED06146BA01}"/>
              </c:ext>
            </c:extLst>
          </c:dPt>
          <c:dPt>
            <c:idx val="1"/>
            <c:bubble3D val="0"/>
            <c:extLst>
              <c:ext xmlns:c16="http://schemas.microsoft.com/office/drawing/2014/chart" uri="{C3380CC4-5D6E-409C-BE32-E72D297353CC}">
                <c16:uniqueId val="{00000001-432F-471A-901D-2ED06146BA01}"/>
              </c:ext>
            </c:extLst>
          </c:dPt>
          <c:dPt>
            <c:idx val="2"/>
            <c:bubble3D val="0"/>
            <c:extLst>
              <c:ext xmlns:c16="http://schemas.microsoft.com/office/drawing/2014/chart" uri="{C3380CC4-5D6E-409C-BE32-E72D297353CC}">
                <c16:uniqueId val="{00000002-432F-471A-901D-2ED06146BA01}"/>
              </c:ext>
            </c:extLst>
          </c:dPt>
          <c:dPt>
            <c:idx val="3"/>
            <c:bubble3D val="0"/>
            <c:extLst>
              <c:ext xmlns:c16="http://schemas.microsoft.com/office/drawing/2014/chart" uri="{C3380CC4-5D6E-409C-BE32-E72D297353CC}">
                <c16:uniqueId val="{00000003-432F-471A-901D-2ED06146BA01}"/>
              </c:ext>
            </c:extLst>
          </c:dPt>
          <c:dLbls>
            <c:dLbl>
              <c:idx val="0"/>
              <c:layout>
                <c:manualLayout>
                  <c:x val="-5.5961898725243639E-18"/>
                  <c:y val="-0.3612481342839736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32F-471A-901D-2ED06146BA01}"/>
                </c:ext>
              </c:extLst>
            </c:dLbl>
            <c:dLbl>
              <c:idx val="1"/>
              <c:layout>
                <c:manualLayout>
                  <c:x val="-4.4769518980194911E-17"/>
                  <c:y val="-0.2561577679468176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32F-471A-901D-2ED06146BA01}"/>
                </c:ext>
              </c:extLst>
            </c:dLbl>
            <c:dLbl>
              <c:idx val="2"/>
              <c:layout>
                <c:manualLayout>
                  <c:x val="-8.9539037960389822E-17"/>
                  <c:y val="-0.1773399931939506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432F-471A-901D-2ED06146BA01}"/>
                </c:ext>
              </c:extLst>
            </c:dLbl>
            <c:dLbl>
              <c:idx val="3"/>
              <c:layout>
                <c:manualLayout>
                  <c:x val="-2.4420019724453726E-3"/>
                  <c:y val="-0.177339993193950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432F-471A-901D-2ED06146BA0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Lib</c:v>
                </c:pt>
                <c:pt idx="1">
                  <c:v>Exc</c:v>
                </c:pt>
                <c:pt idx="2">
                  <c:v>Rob</c:v>
                </c:pt>
                <c:pt idx="3">
                  <c:v>Ara</c:v>
                </c:pt>
              </c:strCache>
            </c:strRef>
          </c:cat>
          <c:val>
            <c:numRef>
              <c:f>PIVOT!$E$21:$E$25</c:f>
              <c:numCache>
                <c:formatCode>"$"#,##0"K"</c:formatCode>
                <c:ptCount val="4"/>
                <c:pt idx="0">
                  <c:v>119.48104999999998</c:v>
                </c:pt>
                <c:pt idx="1">
                  <c:v>63.735650000000007</c:v>
                </c:pt>
                <c:pt idx="2">
                  <c:v>34.475699999999996</c:v>
                </c:pt>
                <c:pt idx="3">
                  <c:v>33.742349999999995</c:v>
                </c:pt>
              </c:numCache>
            </c:numRef>
          </c:val>
          <c:extLst>
            <c:ext xmlns:c16="http://schemas.microsoft.com/office/drawing/2014/chart" uri="{C3380CC4-5D6E-409C-BE32-E72D297353CC}">
              <c16:uniqueId val="{00000004-432F-471A-901D-2ED06146BA01}"/>
            </c:ext>
          </c:extLst>
        </c:ser>
        <c:dLbls>
          <c:showLegendKey val="0"/>
          <c:showVal val="1"/>
          <c:showCatName val="0"/>
          <c:showSerName val="0"/>
          <c:showPercent val="0"/>
          <c:showBubbleSize val="0"/>
        </c:dLbls>
        <c:axId val="47397439"/>
        <c:axId val="47392447"/>
      </c:areaChart>
      <c:catAx>
        <c:axId val="47397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392447"/>
        <c:crosses val="autoZero"/>
        <c:auto val="1"/>
        <c:lblAlgn val="ctr"/>
        <c:lblOffset val="100"/>
        <c:noMultiLvlLbl val="0"/>
      </c:catAx>
      <c:valAx>
        <c:axId val="47392447"/>
        <c:scaling>
          <c:orientation val="minMax"/>
        </c:scaling>
        <c:delete val="1"/>
        <c:axPos val="l"/>
        <c:numFmt formatCode="&quot;$&quot;#,##0&quot;K&quot;" sourceLinked="1"/>
        <c:majorTickMark val="none"/>
        <c:minorTickMark val="none"/>
        <c:tickLblPos val="nextTo"/>
        <c:crossAx val="4739743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PROFIT DASHBOARD'!A1"/><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image" Target="../media/image1.png"/><Relationship Id="rId12" Type="http://schemas.openxmlformats.org/officeDocument/2006/relationships/image" Target="../media/image7.png"/><Relationship Id="rId2" Type="http://schemas.openxmlformats.org/officeDocument/2006/relationships/hyperlink" Target="#'SALES DASHBOARD'!A1"/><Relationship Id="rId1" Type="http://schemas.openxmlformats.org/officeDocument/2006/relationships/image" Target="../media/image5.png"/><Relationship Id="rId6" Type="http://schemas.openxmlformats.org/officeDocument/2006/relationships/chart" Target="../charts/chart10.xml"/><Relationship Id="rId11" Type="http://schemas.openxmlformats.org/officeDocument/2006/relationships/image" Target="../media/image6.png"/><Relationship Id="rId5" Type="http://schemas.openxmlformats.org/officeDocument/2006/relationships/chart" Target="../charts/chart9.xml"/><Relationship Id="rId10" Type="http://schemas.openxmlformats.org/officeDocument/2006/relationships/image" Target="../media/image2.png"/><Relationship Id="rId4" Type="http://schemas.openxmlformats.org/officeDocument/2006/relationships/chart" Target="../charts/chart8.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152400</xdr:rowOff>
    </xdr:from>
    <xdr:to>
      <xdr:col>20</xdr:col>
      <xdr:colOff>590550</xdr:colOff>
      <xdr:row>28</xdr:row>
      <xdr:rowOff>57150</xdr:rowOff>
    </xdr:to>
    <xdr:grpSp>
      <xdr:nvGrpSpPr>
        <xdr:cNvPr id="4" name="Group 3"/>
        <xdr:cNvGrpSpPr/>
      </xdr:nvGrpSpPr>
      <xdr:grpSpPr>
        <a:xfrm>
          <a:off x="142875" y="152400"/>
          <a:ext cx="12639675" cy="5238750"/>
          <a:chOff x="28575" y="161925"/>
          <a:chExt cx="12639675" cy="5238750"/>
        </a:xfrm>
      </xdr:grpSpPr>
      <xdr:sp macro="" textlink="">
        <xdr:nvSpPr>
          <xdr:cNvPr id="2" name="Rounded Rectangle 1"/>
          <xdr:cNvSpPr/>
        </xdr:nvSpPr>
        <xdr:spPr>
          <a:xfrm>
            <a:off x="28575" y="161925"/>
            <a:ext cx="12639675" cy="5238750"/>
          </a:xfrm>
          <a:prstGeom prst="roundRect">
            <a:avLst>
              <a:gd name="adj" fmla="val 7394"/>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xdr:cNvSpPr/>
        </xdr:nvSpPr>
        <xdr:spPr>
          <a:xfrm>
            <a:off x="47625" y="704849"/>
            <a:ext cx="12611100" cy="4695825"/>
          </a:xfrm>
          <a:prstGeom prst="roundRect">
            <a:avLst>
              <a:gd name="adj" fmla="val 6322"/>
            </a:avLst>
          </a:prstGeom>
          <a:solidFill>
            <a:srgbClr val="5D41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190499</xdr:colOff>
      <xdr:row>7</xdr:row>
      <xdr:rowOff>28575</xdr:rowOff>
    </xdr:from>
    <xdr:to>
      <xdr:col>7</xdr:col>
      <xdr:colOff>47624</xdr:colOff>
      <xdr:row>17</xdr:row>
      <xdr:rowOff>43815</xdr:rowOff>
    </xdr:to>
    <xdr:sp macro="" textlink="">
      <xdr:nvSpPr>
        <xdr:cNvPr id="5" name="Rounded Rectangle 4"/>
        <xdr:cNvSpPr/>
      </xdr:nvSpPr>
      <xdr:spPr>
        <a:xfrm>
          <a:off x="190499" y="1362075"/>
          <a:ext cx="4124325" cy="192024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7</xdr:row>
      <xdr:rowOff>28575</xdr:rowOff>
    </xdr:from>
    <xdr:to>
      <xdr:col>13</xdr:col>
      <xdr:colOff>571500</xdr:colOff>
      <xdr:row>17</xdr:row>
      <xdr:rowOff>43815</xdr:rowOff>
    </xdr:to>
    <xdr:sp macro="" textlink="">
      <xdr:nvSpPr>
        <xdr:cNvPr id="6" name="Rounded Rectangle 5"/>
        <xdr:cNvSpPr/>
      </xdr:nvSpPr>
      <xdr:spPr>
        <a:xfrm>
          <a:off x="4381500" y="1362075"/>
          <a:ext cx="4114800" cy="192024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19049</xdr:colOff>
      <xdr:row>7</xdr:row>
      <xdr:rowOff>28575</xdr:rowOff>
    </xdr:from>
    <xdr:to>
      <xdr:col>20</xdr:col>
      <xdr:colOff>523874</xdr:colOff>
      <xdr:row>17</xdr:row>
      <xdr:rowOff>43815</xdr:rowOff>
    </xdr:to>
    <xdr:sp macro="" textlink="">
      <xdr:nvSpPr>
        <xdr:cNvPr id="7" name="Rounded Rectangle 6"/>
        <xdr:cNvSpPr/>
      </xdr:nvSpPr>
      <xdr:spPr>
        <a:xfrm>
          <a:off x="8553449" y="1362075"/>
          <a:ext cx="4162425" cy="192024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17</xdr:row>
      <xdr:rowOff>66675</xdr:rowOff>
    </xdr:from>
    <xdr:to>
      <xdr:col>7</xdr:col>
      <xdr:colOff>95250</xdr:colOff>
      <xdr:row>28</xdr:row>
      <xdr:rowOff>38100</xdr:rowOff>
    </xdr:to>
    <xdr:sp macro="" textlink="">
      <xdr:nvSpPr>
        <xdr:cNvPr id="8" name="Rounded Rectangle 7"/>
        <xdr:cNvSpPr/>
      </xdr:nvSpPr>
      <xdr:spPr>
        <a:xfrm>
          <a:off x="209550" y="3305175"/>
          <a:ext cx="4152900" cy="2066925"/>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123824</xdr:colOff>
      <xdr:row>17</xdr:row>
      <xdr:rowOff>85724</xdr:rowOff>
    </xdr:from>
    <xdr:to>
      <xdr:col>13</xdr:col>
      <xdr:colOff>609599</xdr:colOff>
      <xdr:row>28</xdr:row>
      <xdr:rowOff>38099</xdr:rowOff>
    </xdr:to>
    <xdr:sp macro="" textlink="">
      <xdr:nvSpPr>
        <xdr:cNvPr id="9" name="Rounded Rectangle 8"/>
        <xdr:cNvSpPr/>
      </xdr:nvSpPr>
      <xdr:spPr>
        <a:xfrm>
          <a:off x="4391024" y="3324224"/>
          <a:ext cx="4143375" cy="2047875"/>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238124</xdr:colOff>
      <xdr:row>7</xdr:row>
      <xdr:rowOff>38100</xdr:rowOff>
    </xdr:from>
    <xdr:to>
      <xdr:col>7</xdr:col>
      <xdr:colOff>66675</xdr:colOff>
      <xdr:row>17</xdr:row>
      <xdr:rowOff>38099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104774</xdr:colOff>
      <xdr:row>7</xdr:row>
      <xdr:rowOff>28575</xdr:rowOff>
    </xdr:from>
    <xdr:to>
      <xdr:col>13</xdr:col>
      <xdr:colOff>542925</xdr:colOff>
      <xdr:row>17</xdr:row>
      <xdr:rowOff>38100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7</xdr:row>
      <xdr:rowOff>9525</xdr:rowOff>
    </xdr:from>
    <xdr:to>
      <xdr:col>20</xdr:col>
      <xdr:colOff>533399</xdr:colOff>
      <xdr:row>17</xdr:row>
      <xdr:rowOff>47625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17</xdr:row>
      <xdr:rowOff>76201</xdr:rowOff>
    </xdr:from>
    <xdr:to>
      <xdr:col>6</xdr:col>
      <xdr:colOff>600075</xdr:colOff>
      <xdr:row>28</xdr:row>
      <xdr:rowOff>19051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76199</xdr:colOff>
      <xdr:row>17</xdr:row>
      <xdr:rowOff>76200</xdr:rowOff>
    </xdr:from>
    <xdr:to>
      <xdr:col>13</xdr:col>
      <xdr:colOff>561975</xdr:colOff>
      <xdr:row>28</xdr:row>
      <xdr:rowOff>19050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123825</xdr:colOff>
      <xdr:row>0</xdr:row>
      <xdr:rowOff>152401</xdr:rowOff>
    </xdr:from>
    <xdr:to>
      <xdr:col>20</xdr:col>
      <xdr:colOff>321945</xdr:colOff>
      <xdr:row>3</xdr:row>
      <xdr:rowOff>133351</xdr:rowOff>
    </xdr:to>
    <mc:AlternateContent xmlns:mc="http://schemas.openxmlformats.org/markup-compatibility/2006">
      <mc:Choice xmlns:a14="http://schemas.microsoft.com/office/drawing/2010/main" Requires="a14">
        <xdr:graphicFrame macro="">
          <xdr:nvGraphicFramePr>
            <xdr:cNvPr id="1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267825" y="152401"/>
              <a:ext cx="324612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3</xdr:row>
      <xdr:rowOff>180973</xdr:rowOff>
    </xdr:from>
    <xdr:to>
      <xdr:col>18</xdr:col>
      <xdr:colOff>114300</xdr:colOff>
      <xdr:row>7</xdr:row>
      <xdr:rowOff>9524</xdr:rowOff>
    </xdr:to>
    <xdr:grpSp>
      <xdr:nvGrpSpPr>
        <xdr:cNvPr id="46" name="Group 45"/>
        <xdr:cNvGrpSpPr/>
      </xdr:nvGrpSpPr>
      <xdr:grpSpPr>
        <a:xfrm>
          <a:off x="1885950" y="752473"/>
          <a:ext cx="9201150" cy="590551"/>
          <a:chOff x="1628775" y="723898"/>
          <a:chExt cx="9201150" cy="590551"/>
        </a:xfrm>
      </xdr:grpSpPr>
      <xdr:grpSp>
        <xdr:nvGrpSpPr>
          <xdr:cNvPr id="33" name="Group 32"/>
          <xdr:cNvGrpSpPr/>
        </xdr:nvGrpSpPr>
        <xdr:grpSpPr>
          <a:xfrm>
            <a:off x="1628775" y="723898"/>
            <a:ext cx="9201150" cy="590551"/>
            <a:chOff x="1628775" y="723898"/>
            <a:chExt cx="9201150" cy="590551"/>
          </a:xfrm>
        </xdr:grpSpPr>
        <xdr:grpSp>
          <xdr:nvGrpSpPr>
            <xdr:cNvPr id="20" name="Group 19"/>
            <xdr:cNvGrpSpPr/>
          </xdr:nvGrpSpPr>
          <xdr:grpSpPr>
            <a:xfrm>
              <a:off x="1628775" y="723898"/>
              <a:ext cx="2076450" cy="590551"/>
              <a:chOff x="2085975" y="723898"/>
              <a:chExt cx="2076450" cy="590551"/>
            </a:xfrm>
          </xdr:grpSpPr>
          <xdr:sp macro="" textlink="">
            <xdr:nvSpPr>
              <xdr:cNvPr id="18" name="Rounded Rectangle 17"/>
              <xdr:cNvSpPr/>
            </xdr:nvSpPr>
            <xdr:spPr>
              <a:xfrm>
                <a:off x="208597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ounded Rectangle 18"/>
              <xdr:cNvSpPr/>
            </xdr:nvSpPr>
            <xdr:spPr>
              <a:xfrm>
                <a:off x="232410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4" name="Group 23"/>
            <xdr:cNvGrpSpPr/>
          </xdr:nvGrpSpPr>
          <xdr:grpSpPr>
            <a:xfrm>
              <a:off x="3952875" y="723898"/>
              <a:ext cx="2076450" cy="590551"/>
              <a:chOff x="2085975" y="723898"/>
              <a:chExt cx="2076450" cy="590551"/>
            </a:xfrm>
          </xdr:grpSpPr>
          <xdr:sp macro="" textlink="">
            <xdr:nvSpPr>
              <xdr:cNvPr id="25" name="Rounded Rectangle 24"/>
              <xdr:cNvSpPr/>
            </xdr:nvSpPr>
            <xdr:spPr>
              <a:xfrm>
                <a:off x="208597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ounded Rectangle 25"/>
              <xdr:cNvSpPr/>
            </xdr:nvSpPr>
            <xdr:spPr>
              <a:xfrm>
                <a:off x="232410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7" name="Group 26"/>
            <xdr:cNvGrpSpPr/>
          </xdr:nvGrpSpPr>
          <xdr:grpSpPr>
            <a:xfrm>
              <a:off x="6381750" y="723898"/>
              <a:ext cx="2076450" cy="590551"/>
              <a:chOff x="2085975" y="723898"/>
              <a:chExt cx="2076450" cy="590551"/>
            </a:xfrm>
          </xdr:grpSpPr>
          <xdr:sp macro="" textlink="">
            <xdr:nvSpPr>
              <xdr:cNvPr id="28" name="Rounded Rectangle 27"/>
              <xdr:cNvSpPr/>
            </xdr:nvSpPr>
            <xdr:spPr>
              <a:xfrm>
                <a:off x="208597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ounded Rectangle 28"/>
              <xdr:cNvSpPr/>
            </xdr:nvSpPr>
            <xdr:spPr>
              <a:xfrm>
                <a:off x="232410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0" name="Group 29"/>
            <xdr:cNvGrpSpPr/>
          </xdr:nvGrpSpPr>
          <xdr:grpSpPr>
            <a:xfrm>
              <a:off x="8753475" y="723898"/>
              <a:ext cx="2076450" cy="590551"/>
              <a:chOff x="2085975" y="723898"/>
              <a:chExt cx="2076450" cy="590551"/>
            </a:xfrm>
          </xdr:grpSpPr>
          <xdr:sp macro="" textlink="">
            <xdr:nvSpPr>
              <xdr:cNvPr id="31" name="Rounded Rectangle 30"/>
              <xdr:cNvSpPr/>
            </xdr:nvSpPr>
            <xdr:spPr>
              <a:xfrm>
                <a:off x="208597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ounded Rectangle 31"/>
              <xdr:cNvSpPr/>
            </xdr:nvSpPr>
            <xdr:spPr>
              <a:xfrm>
                <a:off x="232410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PIVOT!$A$4">
        <xdr:nvSpPr>
          <xdr:cNvPr id="34" name="Rectangle 33"/>
          <xdr:cNvSpPr/>
        </xdr:nvSpPr>
        <xdr:spPr>
          <a:xfrm>
            <a:off x="200977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9800DC27-1648-42AD-9EBA-20F2BA5BFC2B}" type="TxLink">
              <a:rPr lang="en-US" sz="2000" b="1" i="0" u="none" strike="noStrike">
                <a:solidFill>
                  <a:srgbClr val="000000"/>
                </a:solidFill>
                <a:latin typeface="Calibri"/>
                <a:cs typeface="Calibri"/>
              </a:rPr>
              <a:pPr algn="r"/>
              <a:t>$2,448M</a:t>
            </a:fld>
            <a:endParaRPr lang="en-US" sz="2000" b="1"/>
          </a:p>
        </xdr:txBody>
      </xdr:sp>
      <xdr:sp macro="" textlink="PIVOT!$C$4">
        <xdr:nvSpPr>
          <xdr:cNvPr id="35" name="Rectangle 34"/>
          <xdr:cNvSpPr/>
        </xdr:nvSpPr>
        <xdr:spPr>
          <a:xfrm>
            <a:off x="429577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0D0B21D9-49AF-48C9-B2D4-2B7B3457373E}" type="TxLink">
              <a:rPr lang="en-US" sz="2000" b="1" i="0" u="none" strike="noStrike">
                <a:solidFill>
                  <a:srgbClr val="000000"/>
                </a:solidFill>
                <a:latin typeface="Calibri"/>
                <a:cs typeface="Calibri"/>
              </a:rPr>
              <a:pPr algn="r"/>
              <a:t>$251K</a:t>
            </a:fld>
            <a:endParaRPr lang="en-US" sz="4000" b="1"/>
          </a:p>
        </xdr:txBody>
      </xdr:sp>
      <xdr:sp macro="" textlink="PIVOT!$E$4">
        <xdr:nvSpPr>
          <xdr:cNvPr id="36" name="Rectangle 35"/>
          <xdr:cNvSpPr/>
        </xdr:nvSpPr>
        <xdr:spPr>
          <a:xfrm>
            <a:off x="675322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E52EB749-C08E-40FC-BE17-1344BA2B4F48}" type="TxLink">
              <a:rPr lang="en-US" sz="2000" b="1" i="0" u="none" strike="noStrike">
                <a:solidFill>
                  <a:srgbClr val="000000"/>
                </a:solidFill>
                <a:latin typeface="Calibri"/>
                <a:cs typeface="Calibri"/>
              </a:rPr>
              <a:pPr algn="r"/>
              <a:t>1,000K</a:t>
            </a:fld>
            <a:endParaRPr lang="en-US" sz="4000" b="1"/>
          </a:p>
        </xdr:txBody>
      </xdr:sp>
      <xdr:sp macro="" textlink="PIVOT!$H$7">
        <xdr:nvSpPr>
          <xdr:cNvPr id="37" name="Rectangle 36"/>
          <xdr:cNvSpPr/>
        </xdr:nvSpPr>
        <xdr:spPr>
          <a:xfrm>
            <a:off x="9105900"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22C1778D-D471-4955-B466-C746029B6C54}" type="TxLink">
              <a:rPr lang="en-US" sz="2000" b="1" i="0" u="none" strike="noStrike">
                <a:solidFill>
                  <a:srgbClr val="000000"/>
                </a:solidFill>
                <a:latin typeface="Calibri"/>
                <a:cs typeface="Calibri"/>
              </a:rPr>
              <a:pPr algn="r"/>
              <a:t>48K</a:t>
            </a:fld>
            <a:endParaRPr lang="en-US" sz="4000" b="1"/>
          </a:p>
        </xdr:txBody>
      </xdr:sp>
      <xdr:sp macro="" textlink="">
        <xdr:nvSpPr>
          <xdr:cNvPr id="21" name="TextBox 20"/>
          <xdr:cNvSpPr txBox="1"/>
        </xdr:nvSpPr>
        <xdr:spPr>
          <a:xfrm>
            <a:off x="2114550" y="752475"/>
            <a:ext cx="1438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SALES</a:t>
            </a:r>
            <a:endParaRPr lang="en-US" sz="1400" b="1"/>
          </a:p>
        </xdr:txBody>
      </xdr:sp>
      <xdr:sp macro="" textlink="">
        <xdr:nvSpPr>
          <xdr:cNvPr id="38" name="TextBox 37"/>
          <xdr:cNvSpPr txBox="1"/>
        </xdr:nvSpPr>
        <xdr:spPr>
          <a:xfrm>
            <a:off x="4419600" y="752475"/>
            <a:ext cx="1438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sp macro="" textlink="">
        <xdr:nvSpPr>
          <xdr:cNvPr id="39" name="TextBox 38"/>
          <xdr:cNvSpPr txBox="1"/>
        </xdr:nvSpPr>
        <xdr:spPr>
          <a:xfrm>
            <a:off x="6724650" y="747712"/>
            <a:ext cx="15716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TOTAL</a:t>
            </a:r>
            <a:r>
              <a:rPr lang="en-US" sz="1300" b="1" baseline="0"/>
              <a:t> CUSTOMERS</a:t>
            </a:r>
            <a:endParaRPr lang="en-US" sz="1300" b="1"/>
          </a:p>
        </xdr:txBody>
      </xdr:sp>
      <xdr:sp macro="" textlink="">
        <xdr:nvSpPr>
          <xdr:cNvPr id="40" name="TextBox 39"/>
          <xdr:cNvSpPr txBox="1"/>
        </xdr:nvSpPr>
        <xdr:spPr>
          <a:xfrm>
            <a:off x="9163050" y="752475"/>
            <a:ext cx="1438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ORDERS</a:t>
            </a:r>
            <a:endParaRPr lang="en-US" sz="1400" b="1"/>
          </a:p>
        </xdr:txBody>
      </xdr:sp>
      <xdr:pic>
        <xdr:nvPicPr>
          <xdr:cNvPr id="23" name="Picture 22" hidden="1"/>
          <xdr:cNvPicPr>
            <a:picLocks noChangeAspect="1"/>
          </xdr:cNvPicPr>
        </xdr:nvPicPr>
        <xdr:blipFill>
          <a:blip xmlns:r="http://schemas.openxmlformats.org/officeDocument/2006/relationships" r:embed="rId6"/>
          <a:stretch>
            <a:fillRect/>
          </a:stretch>
        </xdr:blipFill>
        <xdr:spPr>
          <a:xfrm>
            <a:off x="2105026" y="962025"/>
            <a:ext cx="323849" cy="323849"/>
          </a:xfrm>
          <a:prstGeom prst="rect">
            <a:avLst/>
          </a:prstGeom>
        </xdr:spPr>
      </xdr:pic>
      <xdr:pic>
        <xdr:nvPicPr>
          <xdr:cNvPr id="41" name="Picture 40"/>
          <xdr:cNvPicPr>
            <a:picLocks noChangeAspect="1"/>
          </xdr:cNvPicPr>
        </xdr:nvPicPr>
        <xdr:blipFill>
          <a:blip xmlns:r="http://schemas.openxmlformats.org/officeDocument/2006/relationships" r:embed="rId7"/>
          <a:stretch>
            <a:fillRect/>
          </a:stretch>
        </xdr:blipFill>
        <xdr:spPr>
          <a:xfrm>
            <a:off x="6838950" y="962025"/>
            <a:ext cx="342900" cy="342900"/>
          </a:xfrm>
          <a:prstGeom prst="rect">
            <a:avLst/>
          </a:prstGeom>
        </xdr:spPr>
      </xdr:pic>
      <xdr:pic>
        <xdr:nvPicPr>
          <xdr:cNvPr id="42" name="Picture 41"/>
          <xdr:cNvPicPr>
            <a:picLocks noChangeAspect="1"/>
          </xdr:cNvPicPr>
        </xdr:nvPicPr>
        <xdr:blipFill>
          <a:blip xmlns:r="http://schemas.openxmlformats.org/officeDocument/2006/relationships" r:embed="rId8"/>
          <a:stretch>
            <a:fillRect/>
          </a:stretch>
        </xdr:blipFill>
        <xdr:spPr>
          <a:xfrm>
            <a:off x="4448175" y="981074"/>
            <a:ext cx="295275" cy="295275"/>
          </a:xfrm>
          <a:prstGeom prst="rect">
            <a:avLst/>
          </a:prstGeom>
        </xdr:spPr>
      </xdr:pic>
      <xdr:pic>
        <xdr:nvPicPr>
          <xdr:cNvPr id="43" name="Picture 42"/>
          <xdr:cNvPicPr>
            <a:picLocks noChangeAspect="1"/>
          </xdr:cNvPicPr>
        </xdr:nvPicPr>
        <xdr:blipFill>
          <a:blip xmlns:r="http://schemas.openxmlformats.org/officeDocument/2006/relationships" r:embed="rId9"/>
          <a:stretch>
            <a:fillRect/>
          </a:stretch>
        </xdr:blipFill>
        <xdr:spPr>
          <a:xfrm>
            <a:off x="9277348" y="971549"/>
            <a:ext cx="323852" cy="323852"/>
          </a:xfrm>
          <a:prstGeom prst="rect">
            <a:avLst/>
          </a:prstGeom>
        </xdr:spPr>
      </xdr:pic>
    </xdr:grpSp>
    <xdr:clientData/>
  </xdr:twoCellAnchor>
  <xdr:twoCellAnchor>
    <xdr:from>
      <xdr:col>0</xdr:col>
      <xdr:colOff>485775</xdr:colOff>
      <xdr:row>1</xdr:row>
      <xdr:rowOff>0</xdr:rowOff>
    </xdr:from>
    <xdr:to>
      <xdr:col>11</xdr:col>
      <xdr:colOff>47625</xdr:colOff>
      <xdr:row>3</xdr:row>
      <xdr:rowOff>123825</xdr:rowOff>
    </xdr:to>
    <xdr:grpSp>
      <xdr:nvGrpSpPr>
        <xdr:cNvPr id="47" name="Group 46"/>
        <xdr:cNvGrpSpPr/>
      </xdr:nvGrpSpPr>
      <xdr:grpSpPr>
        <a:xfrm>
          <a:off x="485775" y="190500"/>
          <a:ext cx="6267450" cy="504825"/>
          <a:chOff x="285750" y="161925"/>
          <a:chExt cx="6334124" cy="485775"/>
        </a:xfrm>
      </xdr:grpSpPr>
      <xdr:sp macro="" textlink="">
        <xdr:nvSpPr>
          <xdr:cNvPr id="22" name="TextBox 21"/>
          <xdr:cNvSpPr txBox="1"/>
        </xdr:nvSpPr>
        <xdr:spPr>
          <a:xfrm>
            <a:off x="590549" y="161925"/>
            <a:ext cx="60293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5D4117"/>
                </a:solidFill>
                <a:latin typeface="Times New Roman" panose="02020603050405020304" pitchFamily="18" charset="0"/>
                <a:cs typeface="Times New Roman" panose="02020603050405020304" pitchFamily="18" charset="0"/>
              </a:rPr>
              <a:t>COFFEE</a:t>
            </a:r>
            <a:r>
              <a:rPr lang="en-US" sz="2000" b="1"/>
              <a:t> </a:t>
            </a:r>
            <a:r>
              <a:rPr lang="en-US" sz="2000" b="1">
                <a:latin typeface="Times New Roman" panose="02020603050405020304" pitchFamily="18" charset="0"/>
                <a:cs typeface="Times New Roman" panose="02020603050405020304" pitchFamily="18" charset="0"/>
              </a:rPr>
              <a:t>SALES PROFESSIONAL DASHBOARD</a:t>
            </a:r>
          </a:p>
        </xdr:txBody>
      </xdr:sp>
      <xdr:pic>
        <xdr:nvPicPr>
          <xdr:cNvPr id="45" name="Picture 44"/>
          <xdr:cNvPicPr>
            <a:picLocks noChangeAspect="1"/>
          </xdr:cNvPicPr>
        </xdr:nvPicPr>
        <xdr:blipFill>
          <a:blip xmlns:r="http://schemas.openxmlformats.org/officeDocument/2006/relationships" r:embed="rId10"/>
          <a:stretch>
            <a:fillRect/>
          </a:stretch>
        </xdr:blipFill>
        <xdr:spPr>
          <a:xfrm>
            <a:off x="285750" y="190500"/>
            <a:ext cx="447675" cy="447675"/>
          </a:xfrm>
          <a:prstGeom prst="rect">
            <a:avLst/>
          </a:prstGeom>
        </xdr:spPr>
      </xdr:pic>
    </xdr:grpSp>
    <xdr:clientData/>
  </xdr:twoCellAnchor>
  <xdr:twoCellAnchor>
    <xdr:from>
      <xdr:col>12</xdr:col>
      <xdr:colOff>219075</xdr:colOff>
      <xdr:row>1</xdr:row>
      <xdr:rowOff>57150</xdr:rowOff>
    </xdr:from>
    <xdr:to>
      <xdr:col>13</xdr:col>
      <xdr:colOff>600075</xdr:colOff>
      <xdr:row>3</xdr:row>
      <xdr:rowOff>38100</xdr:rowOff>
    </xdr:to>
    <xdr:sp macro="" textlink="">
      <xdr:nvSpPr>
        <xdr:cNvPr id="48" name="Rectangle 47">
          <a:hlinkClick xmlns:r="http://schemas.openxmlformats.org/officeDocument/2006/relationships" r:id="rId11"/>
        </xdr:cNvPr>
        <xdr:cNvSpPr/>
      </xdr:nvSpPr>
      <xdr:spPr>
        <a:xfrm>
          <a:off x="7534275" y="247650"/>
          <a:ext cx="990600" cy="361950"/>
        </a:xfrm>
        <a:prstGeom prst="rect">
          <a:avLst/>
        </a:prstGeom>
        <a:solidFill>
          <a:srgbClr val="5D411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PROFIT</a:t>
          </a:r>
        </a:p>
      </xdr:txBody>
    </xdr:sp>
    <xdr:clientData/>
  </xdr:twoCellAnchor>
  <xdr:twoCellAnchor>
    <xdr:from>
      <xdr:col>14</xdr:col>
      <xdr:colOff>38100</xdr:colOff>
      <xdr:row>17</xdr:row>
      <xdr:rowOff>95250</xdr:rowOff>
    </xdr:from>
    <xdr:to>
      <xdr:col>20</xdr:col>
      <xdr:colOff>533400</xdr:colOff>
      <xdr:row>28</xdr:row>
      <xdr:rowOff>0</xdr:rowOff>
    </xdr:to>
    <xdr:sp macro="" textlink="">
      <xdr:nvSpPr>
        <xdr:cNvPr id="49" name="Rounded Rectangle 48"/>
        <xdr:cNvSpPr/>
      </xdr:nvSpPr>
      <xdr:spPr>
        <a:xfrm>
          <a:off x="8572500" y="3333750"/>
          <a:ext cx="4152900" cy="200025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xdr:colOff>
      <xdr:row>17</xdr:row>
      <xdr:rowOff>95250</xdr:rowOff>
    </xdr:from>
    <xdr:to>
      <xdr:col>20</xdr:col>
      <xdr:colOff>533400</xdr:colOff>
      <xdr:row>27</xdr:row>
      <xdr:rowOff>180975</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152400</xdr:rowOff>
    </xdr:from>
    <xdr:to>
      <xdr:col>20</xdr:col>
      <xdr:colOff>571500</xdr:colOff>
      <xdr:row>28</xdr:row>
      <xdr:rowOff>57150</xdr:rowOff>
    </xdr:to>
    <xdr:grpSp>
      <xdr:nvGrpSpPr>
        <xdr:cNvPr id="2" name="Group 1"/>
        <xdr:cNvGrpSpPr/>
      </xdr:nvGrpSpPr>
      <xdr:grpSpPr>
        <a:xfrm>
          <a:off x="123825" y="152400"/>
          <a:ext cx="12639675" cy="5238750"/>
          <a:chOff x="28575" y="161925"/>
          <a:chExt cx="12639675" cy="5238750"/>
        </a:xfrm>
      </xdr:grpSpPr>
      <xdr:sp macro="" textlink="">
        <xdr:nvSpPr>
          <xdr:cNvPr id="3" name="Rounded Rectangle 2"/>
          <xdr:cNvSpPr/>
        </xdr:nvSpPr>
        <xdr:spPr>
          <a:xfrm>
            <a:off x="28575" y="161925"/>
            <a:ext cx="12639675" cy="5238750"/>
          </a:xfrm>
          <a:prstGeom prst="roundRect">
            <a:avLst>
              <a:gd name="adj" fmla="val 7394"/>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xdr:cNvSpPr/>
        </xdr:nvSpPr>
        <xdr:spPr>
          <a:xfrm>
            <a:off x="47625" y="704849"/>
            <a:ext cx="12611100" cy="4695825"/>
          </a:xfrm>
          <a:prstGeom prst="roundRect">
            <a:avLst>
              <a:gd name="adj" fmla="val 6322"/>
            </a:avLst>
          </a:prstGeom>
          <a:solidFill>
            <a:srgbClr val="5D41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400049</xdr:colOff>
      <xdr:row>1</xdr:row>
      <xdr:rowOff>0</xdr:rowOff>
    </xdr:from>
    <xdr:to>
      <xdr:col>11</xdr:col>
      <xdr:colOff>333374</xdr:colOff>
      <xdr:row>3</xdr:row>
      <xdr:rowOff>104775</xdr:rowOff>
    </xdr:to>
    <xdr:sp macro="" textlink="">
      <xdr:nvSpPr>
        <xdr:cNvPr id="5" name="TextBox 4"/>
        <xdr:cNvSpPr txBox="1"/>
      </xdr:nvSpPr>
      <xdr:spPr>
        <a:xfrm>
          <a:off x="1009649" y="190500"/>
          <a:ext cx="60293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5D4117"/>
              </a:solidFill>
              <a:latin typeface="Times New Roman" panose="02020603050405020304" pitchFamily="18" charset="0"/>
              <a:cs typeface="Times New Roman" panose="02020603050405020304" pitchFamily="18" charset="0"/>
            </a:rPr>
            <a:t>COFFEE</a:t>
          </a:r>
          <a:r>
            <a:rPr lang="en-US" sz="2000" b="1"/>
            <a:t> </a:t>
          </a:r>
          <a:r>
            <a:rPr lang="en-US" sz="2000" b="1">
              <a:latin typeface="Times New Roman" panose="02020603050405020304" pitchFamily="18" charset="0"/>
              <a:cs typeface="Times New Roman" panose="02020603050405020304" pitchFamily="18" charset="0"/>
            </a:rPr>
            <a:t>PROFIT PROFESSIONAL DASHBOARD</a:t>
          </a:r>
        </a:p>
      </xdr:txBody>
    </xdr:sp>
    <xdr:clientData/>
  </xdr:twoCellAnchor>
  <xdr:twoCellAnchor editAs="oneCell">
    <xdr:from>
      <xdr:col>1</xdr:col>
      <xdr:colOff>38100</xdr:colOff>
      <xdr:row>1</xdr:row>
      <xdr:rowOff>9525</xdr:rowOff>
    </xdr:from>
    <xdr:to>
      <xdr:col>1</xdr:col>
      <xdr:colOff>485775</xdr:colOff>
      <xdr:row>3</xdr:row>
      <xdr:rowOff>76200</xdr:rowOff>
    </xdr:to>
    <xdr:pic>
      <xdr:nvPicPr>
        <xdr:cNvPr id="32" name="Picture 31"/>
        <xdr:cNvPicPr>
          <a:picLocks noChangeAspect="1"/>
        </xdr:cNvPicPr>
      </xdr:nvPicPr>
      <xdr:blipFill>
        <a:blip xmlns:r="http://schemas.openxmlformats.org/officeDocument/2006/relationships" r:embed="rId1"/>
        <a:stretch>
          <a:fillRect/>
        </a:stretch>
      </xdr:blipFill>
      <xdr:spPr>
        <a:xfrm>
          <a:off x="647700" y="200025"/>
          <a:ext cx="447675" cy="447675"/>
        </a:xfrm>
        <a:prstGeom prst="rect">
          <a:avLst/>
        </a:prstGeom>
      </xdr:spPr>
    </xdr:pic>
    <xdr:clientData/>
  </xdr:twoCellAnchor>
  <xdr:twoCellAnchor>
    <xdr:from>
      <xdr:col>12</xdr:col>
      <xdr:colOff>171450</xdr:colOff>
      <xdr:row>1</xdr:row>
      <xdr:rowOff>66675</xdr:rowOff>
    </xdr:from>
    <xdr:to>
      <xdr:col>13</xdr:col>
      <xdr:colOff>466725</xdr:colOff>
      <xdr:row>3</xdr:row>
      <xdr:rowOff>0</xdr:rowOff>
    </xdr:to>
    <xdr:sp macro="" textlink="">
      <xdr:nvSpPr>
        <xdr:cNvPr id="33" name="Rectangle 32">
          <a:hlinkClick xmlns:r="http://schemas.openxmlformats.org/officeDocument/2006/relationships" r:id="rId2"/>
        </xdr:cNvPr>
        <xdr:cNvSpPr/>
      </xdr:nvSpPr>
      <xdr:spPr>
        <a:xfrm>
          <a:off x="7486650" y="257175"/>
          <a:ext cx="904875" cy="314325"/>
        </a:xfrm>
        <a:prstGeom prst="rect">
          <a:avLst/>
        </a:prstGeom>
        <a:solidFill>
          <a:srgbClr val="5D411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SALES</a:t>
          </a:r>
        </a:p>
      </xdr:txBody>
    </xdr:sp>
    <xdr:clientData/>
  </xdr:twoCellAnchor>
  <xdr:twoCellAnchor>
    <xdr:from>
      <xdr:col>3</xdr:col>
      <xdr:colOff>504825</xdr:colOff>
      <xdr:row>7</xdr:row>
      <xdr:rowOff>28574</xdr:rowOff>
    </xdr:from>
    <xdr:to>
      <xdr:col>20</xdr:col>
      <xdr:colOff>516254</xdr:colOff>
      <xdr:row>27</xdr:row>
      <xdr:rowOff>142875</xdr:rowOff>
    </xdr:to>
    <xdr:grpSp>
      <xdr:nvGrpSpPr>
        <xdr:cNvPr id="48" name="Group 47"/>
        <xdr:cNvGrpSpPr/>
      </xdr:nvGrpSpPr>
      <xdr:grpSpPr>
        <a:xfrm>
          <a:off x="2333625" y="1362074"/>
          <a:ext cx="10374629" cy="3924301"/>
          <a:chOff x="847724" y="1266824"/>
          <a:chExt cx="10593705" cy="3924301"/>
        </a:xfrm>
      </xdr:grpSpPr>
      <xdr:sp macro="" textlink="">
        <xdr:nvSpPr>
          <xdr:cNvPr id="35" name="Rounded Rectangle 34"/>
          <xdr:cNvSpPr/>
        </xdr:nvSpPr>
        <xdr:spPr>
          <a:xfrm>
            <a:off x="847724" y="1285875"/>
            <a:ext cx="5303520" cy="192024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ounded Rectangle 35"/>
          <xdr:cNvSpPr/>
        </xdr:nvSpPr>
        <xdr:spPr>
          <a:xfrm>
            <a:off x="6210299" y="1285875"/>
            <a:ext cx="5212080" cy="192024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ounded Rectangle 36"/>
          <xdr:cNvSpPr/>
        </xdr:nvSpPr>
        <xdr:spPr>
          <a:xfrm>
            <a:off x="866774" y="3238500"/>
            <a:ext cx="5303520" cy="194310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ounded Rectangle 37"/>
          <xdr:cNvSpPr/>
        </xdr:nvSpPr>
        <xdr:spPr>
          <a:xfrm>
            <a:off x="6229349" y="3228975"/>
            <a:ext cx="5212080" cy="1962150"/>
          </a:xfrm>
          <a:prstGeom prst="roundRect">
            <a:avLst/>
          </a:prstGeom>
          <a:solidFill>
            <a:srgbClr val="E4E2BA"/>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0" name="Chart 39"/>
          <xdr:cNvGraphicFramePr>
            <a:graphicFrameLocks/>
          </xdr:cNvGraphicFramePr>
        </xdr:nvGraphicFramePr>
        <xdr:xfrm>
          <a:off x="847725" y="1266824"/>
          <a:ext cx="5295900" cy="19335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3" name="Chart 42"/>
          <xdr:cNvGraphicFramePr>
            <a:graphicFrameLocks/>
          </xdr:cNvGraphicFramePr>
        </xdr:nvGraphicFramePr>
        <xdr:xfrm>
          <a:off x="866774" y="3238500"/>
          <a:ext cx="5295901" cy="19431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4" name="Chart 43"/>
          <xdr:cNvGraphicFramePr>
            <a:graphicFrameLocks/>
          </xdr:cNvGraphicFramePr>
        </xdr:nvGraphicFramePr>
        <xdr:xfrm>
          <a:off x="6210299" y="1285875"/>
          <a:ext cx="5191126" cy="1905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5" name="Chart 44"/>
          <xdr:cNvGraphicFramePr>
            <a:graphicFrameLocks/>
          </xdr:cNvGraphicFramePr>
        </xdr:nvGraphicFramePr>
        <xdr:xfrm>
          <a:off x="6229348" y="3228976"/>
          <a:ext cx="5200651" cy="19335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14</xdr:col>
      <xdr:colOff>590550</xdr:colOff>
      <xdr:row>0</xdr:row>
      <xdr:rowOff>104774</xdr:rowOff>
    </xdr:from>
    <xdr:to>
      <xdr:col>20</xdr:col>
      <xdr:colOff>180975</xdr:colOff>
      <xdr:row>3</xdr:row>
      <xdr:rowOff>171449</xdr:rowOff>
    </xdr:to>
    <mc:AlternateContent xmlns:mc="http://schemas.openxmlformats.org/markup-compatibility/2006">
      <mc:Choice xmlns:a14="http://schemas.microsoft.com/office/drawing/2010/main" Requires="a14">
        <xdr:graphicFrame macro="">
          <xdr:nvGraphicFramePr>
            <xdr:cNvPr id="4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124950" y="104774"/>
              <a:ext cx="324802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247650</xdr:colOff>
      <xdr:row>4</xdr:row>
      <xdr:rowOff>9525</xdr:rowOff>
    </xdr:from>
    <xdr:to>
      <xdr:col>14</xdr:col>
      <xdr:colOff>180975</xdr:colOff>
      <xdr:row>6</xdr:row>
      <xdr:rowOff>152400</xdr:rowOff>
    </xdr:to>
    <xdr:grpSp>
      <xdr:nvGrpSpPr>
        <xdr:cNvPr id="6" name="Group 5"/>
        <xdr:cNvGrpSpPr/>
      </xdr:nvGrpSpPr>
      <xdr:grpSpPr>
        <a:xfrm>
          <a:off x="247650" y="771525"/>
          <a:ext cx="8467725" cy="523875"/>
          <a:chOff x="1628775" y="723898"/>
          <a:chExt cx="8429625" cy="590552"/>
        </a:xfrm>
      </xdr:grpSpPr>
      <xdr:grpSp>
        <xdr:nvGrpSpPr>
          <xdr:cNvPr id="7" name="Group 6"/>
          <xdr:cNvGrpSpPr/>
        </xdr:nvGrpSpPr>
        <xdr:grpSpPr>
          <a:xfrm>
            <a:off x="1628775" y="723898"/>
            <a:ext cx="8429625" cy="590552"/>
            <a:chOff x="1628775" y="723898"/>
            <a:chExt cx="8429625" cy="590552"/>
          </a:xfrm>
        </xdr:grpSpPr>
        <xdr:grpSp>
          <xdr:nvGrpSpPr>
            <xdr:cNvPr id="20" name="Group 19"/>
            <xdr:cNvGrpSpPr/>
          </xdr:nvGrpSpPr>
          <xdr:grpSpPr>
            <a:xfrm>
              <a:off x="1628775" y="723898"/>
              <a:ext cx="2076450" cy="590551"/>
              <a:chOff x="2085975" y="723898"/>
              <a:chExt cx="2076450" cy="590551"/>
            </a:xfrm>
          </xdr:grpSpPr>
          <xdr:sp macro="" textlink="">
            <xdr:nvSpPr>
              <xdr:cNvPr id="30" name="Rounded Rectangle 29"/>
              <xdr:cNvSpPr/>
            </xdr:nvSpPr>
            <xdr:spPr>
              <a:xfrm>
                <a:off x="208597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ounded Rectangle 30"/>
              <xdr:cNvSpPr/>
            </xdr:nvSpPr>
            <xdr:spPr>
              <a:xfrm>
                <a:off x="232410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1" name="Group 20"/>
            <xdr:cNvGrpSpPr/>
          </xdr:nvGrpSpPr>
          <xdr:grpSpPr>
            <a:xfrm>
              <a:off x="3743325" y="723898"/>
              <a:ext cx="2076450" cy="590551"/>
              <a:chOff x="1876425" y="723898"/>
              <a:chExt cx="2076450" cy="590551"/>
            </a:xfrm>
          </xdr:grpSpPr>
          <xdr:sp macro="" textlink="">
            <xdr:nvSpPr>
              <xdr:cNvPr id="28" name="Rounded Rectangle 27"/>
              <xdr:cNvSpPr/>
            </xdr:nvSpPr>
            <xdr:spPr>
              <a:xfrm>
                <a:off x="1876425"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ounded Rectangle 28"/>
              <xdr:cNvSpPr/>
            </xdr:nvSpPr>
            <xdr:spPr>
              <a:xfrm>
                <a:off x="2114550"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2" name="Group 21"/>
            <xdr:cNvGrpSpPr/>
          </xdr:nvGrpSpPr>
          <xdr:grpSpPr>
            <a:xfrm>
              <a:off x="5857875" y="723898"/>
              <a:ext cx="2076450" cy="590551"/>
              <a:chOff x="1562100" y="723898"/>
              <a:chExt cx="2076450" cy="590551"/>
            </a:xfrm>
          </xdr:grpSpPr>
          <xdr:sp macro="" textlink="">
            <xdr:nvSpPr>
              <xdr:cNvPr id="26" name="Rounded Rectangle 25"/>
              <xdr:cNvSpPr/>
            </xdr:nvSpPr>
            <xdr:spPr>
              <a:xfrm>
                <a:off x="1562100" y="723898"/>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ounded Rectangle 26"/>
              <xdr:cNvSpPr/>
            </xdr:nvSpPr>
            <xdr:spPr>
              <a:xfrm>
                <a:off x="1800225"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3" name="Group 22"/>
            <xdr:cNvGrpSpPr/>
          </xdr:nvGrpSpPr>
          <xdr:grpSpPr>
            <a:xfrm>
              <a:off x="7981950" y="723898"/>
              <a:ext cx="2076450" cy="590552"/>
              <a:chOff x="1314450" y="723898"/>
              <a:chExt cx="2076450" cy="590552"/>
            </a:xfrm>
          </xdr:grpSpPr>
          <xdr:sp macro="" textlink="">
            <xdr:nvSpPr>
              <xdr:cNvPr id="24" name="Rounded Rectangle 23"/>
              <xdr:cNvSpPr/>
            </xdr:nvSpPr>
            <xdr:spPr>
              <a:xfrm>
                <a:off x="1314450" y="723899"/>
                <a:ext cx="2066925"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ounded Rectangle 24"/>
              <xdr:cNvSpPr/>
            </xdr:nvSpPr>
            <xdr:spPr>
              <a:xfrm>
                <a:off x="1552575" y="723898"/>
                <a:ext cx="1838325"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PIVOT!$A$4">
        <xdr:nvSpPr>
          <xdr:cNvPr id="8" name="Rectangle 7"/>
          <xdr:cNvSpPr/>
        </xdr:nvSpPr>
        <xdr:spPr>
          <a:xfrm>
            <a:off x="200977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9800DC27-1648-42AD-9EBA-20F2BA5BFC2B}" type="TxLink">
              <a:rPr lang="en-US" sz="2000" b="1" i="0" u="none" strike="noStrike">
                <a:solidFill>
                  <a:srgbClr val="000000"/>
                </a:solidFill>
                <a:latin typeface="Calibri"/>
                <a:cs typeface="Calibri"/>
              </a:rPr>
              <a:pPr algn="r"/>
              <a:t>$2,448M</a:t>
            </a:fld>
            <a:endParaRPr lang="en-US" sz="2000" b="1"/>
          </a:p>
        </xdr:txBody>
      </xdr:sp>
      <xdr:sp macro="" textlink="PIVOT!$C$4">
        <xdr:nvSpPr>
          <xdr:cNvPr id="9" name="Rectangle 8"/>
          <xdr:cNvSpPr/>
        </xdr:nvSpPr>
        <xdr:spPr>
          <a:xfrm>
            <a:off x="408622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0D0B21D9-49AF-48C9-B2D4-2B7B3457373E}" type="TxLink">
              <a:rPr lang="en-US" sz="2000" b="1" i="0" u="none" strike="noStrike">
                <a:solidFill>
                  <a:srgbClr val="000000"/>
                </a:solidFill>
                <a:latin typeface="Calibri"/>
                <a:cs typeface="Calibri"/>
              </a:rPr>
              <a:pPr algn="r"/>
              <a:t>$251K</a:t>
            </a:fld>
            <a:endParaRPr lang="en-US" sz="4000" b="1"/>
          </a:p>
        </xdr:txBody>
      </xdr:sp>
      <xdr:sp macro="" textlink="PIVOT!$G$10">
        <xdr:nvSpPr>
          <xdr:cNvPr id="10" name="Rectangle 9"/>
          <xdr:cNvSpPr/>
        </xdr:nvSpPr>
        <xdr:spPr>
          <a:xfrm>
            <a:off x="6229350"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1F3C02CF-6A24-42C5-BF5B-71C6101EF6CA}" type="TxLink">
              <a:rPr lang="en-US" sz="2000" b="1" i="0" u="none" strike="noStrike">
                <a:solidFill>
                  <a:srgbClr val="000000"/>
                </a:solidFill>
                <a:latin typeface="Calibri"/>
                <a:cs typeface="Calibri"/>
              </a:rPr>
              <a:t>10.3%</a:t>
            </a:fld>
            <a:endParaRPr lang="en-US" sz="6600" b="1"/>
          </a:p>
        </xdr:txBody>
      </xdr:sp>
      <xdr:sp macro="" textlink="PIVOT!$G$13">
        <xdr:nvSpPr>
          <xdr:cNvPr id="11" name="Rectangle 10"/>
          <xdr:cNvSpPr/>
        </xdr:nvSpPr>
        <xdr:spPr>
          <a:xfrm>
            <a:off x="8334375" y="1028700"/>
            <a:ext cx="15811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2944E81A-7B83-4584-826C-B6ED9E86A4BA}" type="TxLink">
              <a:rPr lang="en-US" sz="2000" b="1" i="0" u="none" strike="noStrike">
                <a:solidFill>
                  <a:srgbClr val="000000"/>
                </a:solidFill>
                <a:latin typeface="Calibri"/>
                <a:cs typeface="Calibri"/>
              </a:rPr>
              <a:t>$5.24</a:t>
            </a:fld>
            <a:endParaRPr lang="en-US" sz="6600" b="1"/>
          </a:p>
        </xdr:txBody>
      </xdr:sp>
      <xdr:sp macro="" textlink="">
        <xdr:nvSpPr>
          <xdr:cNvPr id="12" name="TextBox 11"/>
          <xdr:cNvSpPr txBox="1"/>
        </xdr:nvSpPr>
        <xdr:spPr>
          <a:xfrm>
            <a:off x="2114550" y="752475"/>
            <a:ext cx="1438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SALES</a:t>
            </a:r>
            <a:endParaRPr lang="en-US" sz="1400" b="1"/>
          </a:p>
        </xdr:txBody>
      </xdr:sp>
      <xdr:sp macro="" textlink="">
        <xdr:nvSpPr>
          <xdr:cNvPr id="13" name="TextBox 12"/>
          <xdr:cNvSpPr txBox="1"/>
        </xdr:nvSpPr>
        <xdr:spPr>
          <a:xfrm>
            <a:off x="4210050" y="752474"/>
            <a:ext cx="1438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sp macro="" textlink="">
        <xdr:nvSpPr>
          <xdr:cNvPr id="14" name="TextBox 13"/>
          <xdr:cNvSpPr txBox="1"/>
        </xdr:nvSpPr>
        <xdr:spPr>
          <a:xfrm>
            <a:off x="6200775" y="747712"/>
            <a:ext cx="15716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PROFIT</a:t>
            </a:r>
            <a:r>
              <a:rPr lang="en-US" sz="1300" b="1" baseline="0"/>
              <a:t> MARGIN</a:t>
            </a:r>
          </a:p>
        </xdr:txBody>
      </xdr:sp>
      <xdr:sp macro="" textlink="">
        <xdr:nvSpPr>
          <xdr:cNvPr id="15" name="TextBox 14"/>
          <xdr:cNvSpPr txBox="1"/>
        </xdr:nvSpPr>
        <xdr:spPr>
          <a:xfrm>
            <a:off x="8315326" y="734636"/>
            <a:ext cx="1628775" cy="236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t>AVG</a:t>
            </a:r>
            <a:r>
              <a:rPr lang="en-US" sz="1050" b="1" baseline="0"/>
              <a:t> PROFIT PER ORDER</a:t>
            </a:r>
            <a:endParaRPr lang="en-US" sz="1050" b="1"/>
          </a:p>
        </xdr:txBody>
      </xdr:sp>
      <xdr:pic>
        <xdr:nvPicPr>
          <xdr:cNvPr id="16" name="Picture 15"/>
          <xdr:cNvPicPr>
            <a:picLocks noChangeAspect="1"/>
          </xdr:cNvPicPr>
        </xdr:nvPicPr>
        <xdr:blipFill>
          <a:blip xmlns:r="http://schemas.openxmlformats.org/officeDocument/2006/relationships" r:embed="rId7"/>
          <a:stretch>
            <a:fillRect/>
          </a:stretch>
        </xdr:blipFill>
        <xdr:spPr>
          <a:xfrm>
            <a:off x="2105026" y="962025"/>
            <a:ext cx="323849" cy="323849"/>
          </a:xfrm>
          <a:prstGeom prst="rect">
            <a:avLst/>
          </a:prstGeom>
        </xdr:spPr>
      </xdr:pic>
      <xdr:pic>
        <xdr:nvPicPr>
          <xdr:cNvPr id="18" name="Picture 17"/>
          <xdr:cNvPicPr>
            <a:picLocks noChangeAspect="1"/>
          </xdr:cNvPicPr>
        </xdr:nvPicPr>
        <xdr:blipFill>
          <a:blip xmlns:r="http://schemas.openxmlformats.org/officeDocument/2006/relationships" r:embed="rId8"/>
          <a:stretch>
            <a:fillRect/>
          </a:stretch>
        </xdr:blipFill>
        <xdr:spPr>
          <a:xfrm>
            <a:off x="4238625" y="981074"/>
            <a:ext cx="295275" cy="295276"/>
          </a:xfrm>
          <a:prstGeom prst="rect">
            <a:avLst/>
          </a:prstGeom>
        </xdr:spPr>
      </xdr:pic>
    </xdr:grpSp>
    <xdr:clientData/>
  </xdr:twoCellAnchor>
  <xdr:twoCellAnchor>
    <xdr:from>
      <xdr:col>0</xdr:col>
      <xdr:colOff>224928</xdr:colOff>
      <xdr:row>7</xdr:row>
      <xdr:rowOff>57150</xdr:rowOff>
    </xdr:from>
    <xdr:to>
      <xdr:col>3</xdr:col>
      <xdr:colOff>422586</xdr:colOff>
      <xdr:row>10</xdr:row>
      <xdr:rowOff>76201</xdr:rowOff>
    </xdr:to>
    <xdr:sp macro="" textlink="">
      <xdr:nvSpPr>
        <xdr:cNvPr id="66" name="Rounded Rectangle 65"/>
        <xdr:cNvSpPr/>
      </xdr:nvSpPr>
      <xdr:spPr>
        <a:xfrm>
          <a:off x="224928" y="1390650"/>
          <a:ext cx="2026458"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458391</xdr:colOff>
      <xdr:row>7</xdr:row>
      <xdr:rowOff>57150</xdr:rowOff>
    </xdr:from>
    <xdr:to>
      <xdr:col>3</xdr:col>
      <xdr:colOff>431925</xdr:colOff>
      <xdr:row>10</xdr:row>
      <xdr:rowOff>76201</xdr:rowOff>
    </xdr:to>
    <xdr:sp macro="" textlink="">
      <xdr:nvSpPr>
        <xdr:cNvPr id="67" name="Rounded Rectangle 66"/>
        <xdr:cNvSpPr/>
      </xdr:nvSpPr>
      <xdr:spPr>
        <a:xfrm>
          <a:off x="458391" y="1390650"/>
          <a:ext cx="1802334"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231153</xdr:colOff>
      <xdr:row>10</xdr:row>
      <xdr:rowOff>161925</xdr:rowOff>
    </xdr:from>
    <xdr:to>
      <xdr:col>3</xdr:col>
      <xdr:colOff>428811</xdr:colOff>
      <xdr:row>13</xdr:row>
      <xdr:rowOff>180976</xdr:rowOff>
    </xdr:to>
    <xdr:sp macro="" textlink="">
      <xdr:nvSpPr>
        <xdr:cNvPr id="68" name="Rounded Rectangle 67"/>
        <xdr:cNvSpPr/>
      </xdr:nvSpPr>
      <xdr:spPr>
        <a:xfrm>
          <a:off x="231153" y="2066925"/>
          <a:ext cx="2026458" cy="590551"/>
        </a:xfrm>
        <a:prstGeom prst="roundRect">
          <a:avLst>
            <a:gd name="adj" fmla="val 45699"/>
          </a:avLst>
        </a:prstGeom>
        <a:solidFill>
          <a:srgbClr val="E4E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464616</xdr:colOff>
      <xdr:row>10</xdr:row>
      <xdr:rowOff>161925</xdr:rowOff>
    </xdr:from>
    <xdr:to>
      <xdr:col>3</xdr:col>
      <xdr:colOff>438150</xdr:colOff>
      <xdr:row>13</xdr:row>
      <xdr:rowOff>180976</xdr:rowOff>
    </xdr:to>
    <xdr:sp macro="" textlink="">
      <xdr:nvSpPr>
        <xdr:cNvPr id="69" name="Rounded Rectangle 68"/>
        <xdr:cNvSpPr/>
      </xdr:nvSpPr>
      <xdr:spPr>
        <a:xfrm>
          <a:off x="464616" y="2066925"/>
          <a:ext cx="1802334" cy="590551"/>
        </a:xfrm>
        <a:prstGeom prst="roundRect">
          <a:avLst>
            <a:gd name="adj" fmla="val 45699"/>
          </a:avLst>
        </a:prstGeom>
        <a:solidFill>
          <a:srgbClr val="EEED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589130</xdr:colOff>
      <xdr:row>8</xdr:row>
      <xdr:rowOff>171452</xdr:rowOff>
    </xdr:from>
    <xdr:to>
      <xdr:col>3</xdr:col>
      <xdr:colOff>310524</xdr:colOff>
      <xdr:row>10</xdr:row>
      <xdr:rowOff>66677</xdr:rowOff>
    </xdr:to>
    <xdr:sp macro="" textlink="PIVOT!$E$4">
      <xdr:nvSpPr>
        <xdr:cNvPr id="70" name="Rectangle 69"/>
        <xdr:cNvSpPr/>
      </xdr:nvSpPr>
      <xdr:spPr>
        <a:xfrm>
          <a:off x="589130" y="1695452"/>
          <a:ext cx="1550194"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E52EB749-C08E-40FC-BE17-1344BA2B4F48}" type="TxLink">
            <a:rPr lang="en-US" sz="2000" b="1" i="0" u="none" strike="noStrike">
              <a:solidFill>
                <a:srgbClr val="000000"/>
              </a:solidFill>
              <a:latin typeface="Calibri"/>
              <a:cs typeface="Calibri"/>
            </a:rPr>
            <a:pPr algn="r"/>
            <a:t>1,000K</a:t>
          </a:fld>
          <a:endParaRPr lang="en-US" sz="4000" b="1"/>
        </a:p>
      </xdr:txBody>
    </xdr:sp>
    <xdr:clientData/>
  </xdr:twoCellAnchor>
  <xdr:twoCellAnchor>
    <xdr:from>
      <xdr:col>0</xdr:col>
      <xdr:colOff>576679</xdr:colOff>
      <xdr:row>12</xdr:row>
      <xdr:rowOff>85727</xdr:rowOff>
    </xdr:from>
    <xdr:to>
      <xdr:col>3</xdr:col>
      <xdr:colOff>298073</xdr:colOff>
      <xdr:row>13</xdr:row>
      <xdr:rowOff>171452</xdr:rowOff>
    </xdr:to>
    <xdr:sp macro="" textlink="PIVOT!$H$7">
      <xdr:nvSpPr>
        <xdr:cNvPr id="71" name="Rectangle 70"/>
        <xdr:cNvSpPr/>
      </xdr:nvSpPr>
      <xdr:spPr>
        <a:xfrm>
          <a:off x="576679" y="2371727"/>
          <a:ext cx="1550194"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22C1778D-D471-4955-B466-C746029B6C54}" type="TxLink">
            <a:rPr lang="en-US" sz="2000" b="1" i="0" u="none" strike="noStrike">
              <a:solidFill>
                <a:srgbClr val="000000"/>
              </a:solidFill>
              <a:latin typeface="Calibri"/>
              <a:cs typeface="Calibri"/>
            </a:rPr>
            <a:pPr algn="r"/>
            <a:t>48K</a:t>
          </a:fld>
          <a:endParaRPr lang="en-US" sz="4000" b="1"/>
        </a:p>
      </xdr:txBody>
    </xdr:sp>
    <xdr:clientData/>
  </xdr:twoCellAnchor>
  <xdr:twoCellAnchor>
    <xdr:from>
      <xdr:col>0</xdr:col>
      <xdr:colOff>561114</xdr:colOff>
      <xdr:row>7</xdr:row>
      <xdr:rowOff>80964</xdr:rowOff>
    </xdr:from>
    <xdr:to>
      <xdr:col>3</xdr:col>
      <xdr:colOff>273169</xdr:colOff>
      <xdr:row>8</xdr:row>
      <xdr:rowOff>119064</xdr:rowOff>
    </xdr:to>
    <xdr:sp macro="" textlink="">
      <xdr:nvSpPr>
        <xdr:cNvPr id="72" name="TextBox 71"/>
        <xdr:cNvSpPr txBox="1"/>
      </xdr:nvSpPr>
      <xdr:spPr>
        <a:xfrm>
          <a:off x="561114" y="1414464"/>
          <a:ext cx="154085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TOTAL</a:t>
          </a:r>
          <a:r>
            <a:rPr lang="en-US" sz="1300" b="1" baseline="0"/>
            <a:t> CUSTOMERS</a:t>
          </a:r>
          <a:endParaRPr lang="en-US" sz="1300" b="1"/>
        </a:p>
      </xdr:txBody>
    </xdr:sp>
    <xdr:clientData/>
  </xdr:twoCellAnchor>
  <xdr:twoCellAnchor>
    <xdr:from>
      <xdr:col>1</xdr:col>
      <xdr:colOff>23110</xdr:colOff>
      <xdr:row>11</xdr:row>
      <xdr:rowOff>2</xdr:rowOff>
    </xdr:from>
    <xdr:to>
      <xdr:col>3</xdr:col>
      <xdr:colOff>214026</xdr:colOff>
      <xdr:row>12</xdr:row>
      <xdr:rowOff>28577</xdr:rowOff>
    </xdr:to>
    <xdr:sp macro="" textlink="">
      <xdr:nvSpPr>
        <xdr:cNvPr id="73" name="TextBox 72"/>
        <xdr:cNvSpPr txBox="1"/>
      </xdr:nvSpPr>
      <xdr:spPr>
        <a:xfrm>
          <a:off x="632710" y="2095502"/>
          <a:ext cx="1410116"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ORDERS</a:t>
          </a:r>
          <a:endParaRPr lang="en-US" sz="1400" b="1"/>
        </a:p>
      </xdr:txBody>
    </xdr:sp>
    <xdr:clientData/>
  </xdr:twoCellAnchor>
  <xdr:twoCellAnchor>
    <xdr:from>
      <xdr:col>1</xdr:col>
      <xdr:colOff>135170</xdr:colOff>
      <xdr:row>12</xdr:row>
      <xdr:rowOff>28576</xdr:rowOff>
    </xdr:from>
    <xdr:to>
      <xdr:col>1</xdr:col>
      <xdr:colOff>452682</xdr:colOff>
      <xdr:row>13</xdr:row>
      <xdr:rowOff>161928</xdr:rowOff>
    </xdr:to>
    <xdr:pic>
      <xdr:nvPicPr>
        <xdr:cNvPr id="74" name="Picture 73"/>
        <xdr:cNvPicPr>
          <a:picLocks noChangeAspect="1"/>
        </xdr:cNvPicPr>
      </xdr:nvPicPr>
      <xdr:blipFill>
        <a:blip xmlns:r="http://schemas.openxmlformats.org/officeDocument/2006/relationships" r:embed="rId9"/>
        <a:stretch>
          <a:fillRect/>
        </a:stretch>
      </xdr:blipFill>
      <xdr:spPr>
        <a:xfrm>
          <a:off x="744770" y="2314576"/>
          <a:ext cx="317512" cy="323852"/>
        </a:xfrm>
        <a:prstGeom prst="rect">
          <a:avLst/>
        </a:prstGeom>
      </xdr:spPr>
    </xdr:pic>
    <xdr:clientData/>
  </xdr:twoCellAnchor>
  <xdr:twoCellAnchor>
    <xdr:from>
      <xdr:col>1</xdr:col>
      <xdr:colOff>57150</xdr:colOff>
      <xdr:row>8</xdr:row>
      <xdr:rowOff>95250</xdr:rowOff>
    </xdr:from>
    <xdr:to>
      <xdr:col>1</xdr:col>
      <xdr:colOff>400050</xdr:colOff>
      <xdr:row>10</xdr:row>
      <xdr:rowOff>57150</xdr:rowOff>
    </xdr:to>
    <xdr:pic>
      <xdr:nvPicPr>
        <xdr:cNvPr id="75" name="Picture 74"/>
        <xdr:cNvPicPr>
          <a:picLocks noChangeAspect="1"/>
        </xdr:cNvPicPr>
      </xdr:nvPicPr>
      <xdr:blipFill>
        <a:blip xmlns:r="http://schemas.openxmlformats.org/officeDocument/2006/relationships" r:embed="rId10"/>
        <a:stretch>
          <a:fillRect/>
        </a:stretch>
      </xdr:blipFill>
      <xdr:spPr>
        <a:xfrm>
          <a:off x="666750" y="1619250"/>
          <a:ext cx="342900" cy="342900"/>
        </a:xfrm>
        <a:prstGeom prst="rect">
          <a:avLst/>
        </a:prstGeom>
      </xdr:spPr>
    </xdr:pic>
    <xdr:clientData/>
  </xdr:twoCellAnchor>
  <xdr:twoCellAnchor editAs="oneCell">
    <xdr:from>
      <xdr:col>14</xdr:col>
      <xdr:colOff>609599</xdr:colOff>
      <xdr:row>4</xdr:row>
      <xdr:rowOff>0</xdr:rowOff>
    </xdr:from>
    <xdr:to>
      <xdr:col>20</xdr:col>
      <xdr:colOff>180975</xdr:colOff>
      <xdr:row>7</xdr:row>
      <xdr:rowOff>28574</xdr:rowOff>
    </xdr:to>
    <mc:AlternateContent xmlns:mc="http://schemas.openxmlformats.org/markup-compatibility/2006">
      <mc:Choice xmlns:a14="http://schemas.microsoft.com/office/drawing/2010/main" Requires="a14">
        <xdr:graphicFrame macro="">
          <xdr:nvGraphicFramePr>
            <xdr:cNvPr id="76"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9143999" y="762000"/>
              <a:ext cx="3228976"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114299</xdr:colOff>
      <xdr:row>5</xdr:row>
      <xdr:rowOff>19050</xdr:rowOff>
    </xdr:from>
    <xdr:to>
      <xdr:col>8</xdr:col>
      <xdr:colOff>428625</xdr:colOff>
      <xdr:row>6</xdr:row>
      <xdr:rowOff>142876</xdr:rowOff>
    </xdr:to>
    <xdr:pic>
      <xdr:nvPicPr>
        <xdr:cNvPr id="41" name="Picture 40"/>
        <xdr:cNvPicPr>
          <a:picLocks noChangeAspect="1"/>
        </xdr:cNvPicPr>
      </xdr:nvPicPr>
      <xdr:blipFill>
        <a:blip xmlns:r="http://schemas.openxmlformats.org/officeDocument/2006/relationships" r:embed="rId11"/>
        <a:stretch>
          <a:fillRect/>
        </a:stretch>
      </xdr:blipFill>
      <xdr:spPr>
        <a:xfrm>
          <a:off x="4991099" y="971550"/>
          <a:ext cx="314326" cy="314326"/>
        </a:xfrm>
        <a:prstGeom prst="rect">
          <a:avLst/>
        </a:prstGeom>
      </xdr:spPr>
    </xdr:pic>
    <xdr:clientData/>
  </xdr:twoCellAnchor>
  <xdr:twoCellAnchor editAs="oneCell">
    <xdr:from>
      <xdr:col>11</xdr:col>
      <xdr:colOff>495301</xdr:colOff>
      <xdr:row>5</xdr:row>
      <xdr:rowOff>47624</xdr:rowOff>
    </xdr:from>
    <xdr:to>
      <xdr:col>12</xdr:col>
      <xdr:colOff>152400</xdr:colOff>
      <xdr:row>6</xdr:row>
      <xdr:rowOff>123823</xdr:rowOff>
    </xdr:to>
    <xdr:pic>
      <xdr:nvPicPr>
        <xdr:cNvPr id="42" name="Picture 41"/>
        <xdr:cNvPicPr>
          <a:picLocks noChangeAspect="1"/>
        </xdr:cNvPicPr>
      </xdr:nvPicPr>
      <xdr:blipFill>
        <a:blip xmlns:r="http://schemas.openxmlformats.org/officeDocument/2006/relationships" r:embed="rId12"/>
        <a:stretch>
          <a:fillRect/>
        </a:stretch>
      </xdr:blipFill>
      <xdr:spPr>
        <a:xfrm>
          <a:off x="7200901" y="1000124"/>
          <a:ext cx="266699" cy="2666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99.377882870373" createdVersion="6" refreshedVersion="6" minRefreshableVersion="3" recordCount="1000">
  <cacheSource type="worksheet">
    <worksheetSource name="Table2"/>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ity" numFmtId="0">
      <sharedItems/>
    </cacheField>
    <cacheField name="Coffee Type" numFmtId="0">
      <sharedItems containsMixedTypes="1" containsNumber="1" containsInteger="1" minValue="0" maxValue="0" count="5">
        <s v="Ara"/>
        <s v="Rob"/>
        <s v="Lib"/>
        <s v="Exc"/>
        <n v="0"/>
      </sharedItems>
    </cacheField>
    <cacheField name="Roast Type" numFmtId="0">
      <sharedItems containsMixedTypes="1" containsNumber="1" containsInteger="1" minValue="0" maxValue="0" count="4">
        <s v="LIGHT"/>
        <s v="MEDIUM"/>
        <s v="DOUBLE"/>
        <n v="0"/>
      </sharedItems>
    </cacheField>
    <cacheField name="Size" numFmtId="0">
      <sharedItems containsSemiMixedTypes="0" containsString="0" containsNumber="1" minValue="0" maxValue="2.5" count="5">
        <n v="0.2"/>
        <n v="0.5"/>
        <n v="1"/>
        <n v="2.5"/>
        <n v="0"/>
      </sharedItems>
    </cacheField>
    <cacheField name="Unit Price" numFmtId="0">
      <sharedItems containsSemiMixedTypes="0" containsString="0" containsNumber="1" minValue="0" maxValue="36.454999999999998" count="41">
        <n v="3.8849999999999998"/>
        <n v="7.77"/>
        <n v="12.95"/>
        <n v="29.784999999999997"/>
        <n v="3.375"/>
        <n v="6.75"/>
        <n v="11.25"/>
        <n v="25.874999999999996"/>
        <n v="2.9849999999999999"/>
        <n v="5.97"/>
        <n v="9.9499999999999993"/>
        <n v="22.884999999999998"/>
        <n v="3.5849999999999995"/>
        <n v="7.169999999999999"/>
        <n v="11.95"/>
        <n v="27.484999999999996"/>
        <n v="2.6849999999999996"/>
        <n v="5.3699999999999992"/>
        <n v="8.9499999999999993"/>
        <n v="20.584999999999997"/>
        <n v="4.7549999999999999"/>
        <n v="9.51"/>
        <n v="15.85"/>
        <n v="36.454999999999998"/>
        <n v="4.3650000000000002"/>
        <n v="8.73"/>
        <n v="14.55"/>
        <n v="33.464999999999996"/>
        <n v="4.4550000000000001"/>
        <n v="8.91"/>
        <n v="14.85"/>
        <n v="34.154999999999994"/>
        <n v="4.125"/>
        <n v="8.25"/>
        <n v="13.75"/>
        <n v="31.624999999999996"/>
        <n v="3.645"/>
        <n v="7.29"/>
        <n v="12.15"/>
        <n v="27.945"/>
        <n v="0"/>
      </sharedItems>
    </cacheField>
    <cacheField name="Sales" numFmtId="44">
      <sharedItems containsSemiMixedTypes="0" containsString="0" containsNumber="1" minValue="0" maxValue="204.92999999999995" count="46">
        <n v="7.77"/>
        <n v="38.849999999999994"/>
        <n v="12.95"/>
        <n v="59.569999999999993"/>
        <n v="6.75"/>
        <n v="20.25"/>
        <n v="33.75"/>
        <n v="25.874999999999996"/>
        <n v="8.9550000000000001"/>
        <n v="5.97"/>
        <n v="39.799999999999997"/>
        <n v="114.42499999999998"/>
        <n v="17.924999999999997"/>
        <n v="14.339999999999998"/>
        <n v="35.849999999999994"/>
        <n v="137.42499999999998"/>
        <n v="17.91"/>
        <n v="35.82"/>
        <n v="10.739999999999998"/>
        <n v="32.22"/>
        <n v="35.799999999999997"/>
        <n v="82.339999999999989"/>
        <n v="4.7549999999999999"/>
        <n v="28.53"/>
        <n v="63.4"/>
        <n v="182.27499999999998"/>
        <n v="13.095000000000001"/>
        <n v="34.92"/>
        <n v="72.75"/>
        <n v="200.78999999999996"/>
        <n v="23.31"/>
        <n v="77.699999999999989"/>
        <n v="178.70999999999998"/>
        <n v="8.91"/>
        <n v="26.73"/>
        <n v="74.25"/>
        <n v="204.92999999999995"/>
        <n v="12.375"/>
        <n v="16.5"/>
        <n v="41.25"/>
        <n v="63.249999999999993"/>
        <n v="7.29"/>
        <n v="43.74"/>
        <n v="24.3"/>
        <n v="55.89"/>
        <n v="0"/>
      </sharedItems>
    </cacheField>
    <cacheField name="Profit" numFmtId="0">
      <sharedItems containsSemiMixedTypes="0" containsString="0" containsNumber="1" minValue="0" maxValue="26.102699999999999" count="49">
        <n v="0.69929999999999992"/>
        <n v="3.4964999999999997"/>
        <n v="1.1655"/>
        <n v="5.3612999999999991"/>
        <n v="0.60749999999999993"/>
        <n v="1.8224999999999998"/>
        <n v="3.0374999999999996"/>
        <n v="2.3287499999999994"/>
        <n v="0.80594999999999994"/>
        <n v="0.5373"/>
        <n v="3.5819999999999994"/>
        <n v="10.298249999999998"/>
        <n v="1.0754999999999999"/>
        <n v="0.86039999999999983"/>
        <n v="2.1509999999999998"/>
        <n v="8.2454999999999998"/>
        <n v="1.0745999999999998"/>
        <n v="2.1491999999999996"/>
        <n v="2.3879999999999999"/>
        <n v="6.865499999999999"/>
        <n v="0.64439999999999986"/>
        <n v="1.9331999999999996"/>
        <n v="2.1479999999999997"/>
        <n v="4.9403999999999995"/>
        <n v="0.61814999999999998"/>
        <n v="3.7088999999999999"/>
        <n v="8.2420000000000009"/>
        <n v="23.695749999999997"/>
        <n v="1.70235"/>
        <n v="4.5396000000000001"/>
        <n v="9.4575000000000014"/>
        <n v="26.102699999999999"/>
        <n v="3.0303"/>
        <n v="5.0504999999999995"/>
        <n v="10.100999999999999"/>
        <n v="23.232299999999999"/>
        <n v="0.98009999999999997"/>
        <n v="2.9402999999999997"/>
        <n v="8.1675000000000004"/>
        <n v="22.542299999999997"/>
        <n v="1.3612500000000001"/>
        <n v="1.8149999999999999"/>
        <n v="4.5374999999999996"/>
        <n v="6.9574999999999996"/>
        <n v="0.80190000000000006"/>
        <n v="4.8114000000000008"/>
        <n v="2.673"/>
        <n v="6.1478999999999999"/>
        <n v="0"/>
      </sharedItems>
    </cacheField>
    <cacheField name="Quarters" numFmtId="0" databaseField="0">
      <fieldGroup base="1">
        <rangePr groupBy="quarters" startDate="2019-01-02T00:00:00" endDate="2022-08-20T00:00:00"/>
        <groupItems count="6">
          <s v="&lt;1/2/2019"/>
          <s v="Qtr1"/>
          <s v="Qtr2"/>
          <s v="Qtr3"/>
          <s v="Qtr4"/>
          <s v="&gt;8/20/2022"/>
        </groupItems>
      </fieldGroup>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s v="Aloisia Allner"/>
    <s v="aallner0@lulu.com"/>
    <x v="0"/>
    <s v="Paterson"/>
    <x v="0"/>
    <x v="0"/>
    <x v="0"/>
    <x v="0"/>
    <x v="0"/>
    <x v="0"/>
  </r>
  <r>
    <s v="QEV-37451-860"/>
    <x v="0"/>
    <s v="17670-51384-MA"/>
    <s v="E-M-0.5"/>
    <n v="5"/>
    <s v="Piotr Bote"/>
    <s v="pbote1@yelp.com"/>
    <x v="1"/>
    <s v="Crumlin"/>
    <x v="0"/>
    <x v="0"/>
    <x v="1"/>
    <x v="1"/>
    <x v="1"/>
    <x v="1"/>
  </r>
  <r>
    <s v="FAA-43335-268"/>
    <x v="1"/>
    <s v="21125-22134-PX"/>
    <s v="A-L-1"/>
    <n v="1"/>
    <s v="Jami Redholes"/>
    <s v="jredholes2@tmall.com"/>
    <x v="0"/>
    <s v="San Antonio"/>
    <x v="0"/>
    <x v="0"/>
    <x v="2"/>
    <x v="2"/>
    <x v="2"/>
    <x v="2"/>
  </r>
  <r>
    <s v="KAC-83089-793"/>
    <x v="2"/>
    <s v="23806-46781-OU"/>
    <s v="E-M-1"/>
    <n v="2"/>
    <s v="Dene Azema"/>
    <s v="dazema3@facebook.com"/>
    <x v="0"/>
    <s v="Springfield"/>
    <x v="0"/>
    <x v="0"/>
    <x v="3"/>
    <x v="3"/>
    <x v="3"/>
    <x v="3"/>
  </r>
  <r>
    <s v="KAC-83089-793"/>
    <x v="2"/>
    <s v="23806-46781-OU"/>
    <s v="R-L-2.5"/>
    <n v="2"/>
    <s v="Christoffer O' Shea"/>
    <n v="0"/>
    <x v="1"/>
    <s v="Cill Airne"/>
    <x v="0"/>
    <x v="1"/>
    <x v="0"/>
    <x v="4"/>
    <x v="4"/>
    <x v="4"/>
  </r>
  <r>
    <s v="CVP-18956-553"/>
    <x v="3"/>
    <s v="86561-91660-RB"/>
    <s v="L-D-1"/>
    <n v="3"/>
    <s v="Beryle Cottier"/>
    <n v="0"/>
    <x v="0"/>
    <s v="Scranton"/>
    <x v="0"/>
    <x v="1"/>
    <x v="1"/>
    <x v="5"/>
    <x v="5"/>
    <x v="5"/>
  </r>
  <r>
    <s v="IPP-31994-879"/>
    <x v="4"/>
    <s v="65223-29612-CB"/>
    <s v="E-D-0.5"/>
    <n v="3"/>
    <s v="Shaylynn Lobe"/>
    <s v="slobe6@nifty.com"/>
    <x v="0"/>
    <s v="Dayton"/>
    <x v="0"/>
    <x v="1"/>
    <x v="2"/>
    <x v="6"/>
    <x v="6"/>
    <x v="6"/>
  </r>
  <r>
    <s v="SNZ-65340-705"/>
    <x v="5"/>
    <s v="21134-81676-FR"/>
    <s v="L-L-0.2"/>
    <n v="1"/>
    <s v="Melvin Wharfe"/>
    <n v="0"/>
    <x v="1"/>
    <s v="Kill"/>
    <x v="0"/>
    <x v="1"/>
    <x v="3"/>
    <x v="7"/>
    <x v="7"/>
    <x v="7"/>
  </r>
  <r>
    <s v="EZT-46571-659"/>
    <x v="6"/>
    <s v="03396-68805-ZC"/>
    <s v="R-M-0.5"/>
    <n v="3"/>
    <s v="Guthrey Petracci"/>
    <s v="gpetracci8@livejournal.com"/>
    <x v="0"/>
    <s v="Los Angeles"/>
    <x v="0"/>
    <x v="2"/>
    <x v="0"/>
    <x v="8"/>
    <x v="8"/>
    <x v="8"/>
  </r>
  <r>
    <s v="NWQ-70061-912"/>
    <x v="0"/>
    <s v="61021-27840-ZN"/>
    <s v="R-M-0.5"/>
    <n v="1"/>
    <s v="Rodger Raven"/>
    <s v="rraven9@ed.gov"/>
    <x v="0"/>
    <s v="Los Angeles"/>
    <x v="0"/>
    <x v="2"/>
    <x v="1"/>
    <x v="9"/>
    <x v="9"/>
    <x v="9"/>
  </r>
  <r>
    <s v="BKK-47233-845"/>
    <x v="7"/>
    <s v="76239-90137-UQ"/>
    <s v="A-D-1"/>
    <n v="4"/>
    <s v="Ferrell Ferber"/>
    <s v="fferbera@businesswire.com"/>
    <x v="0"/>
    <s v="San Jose"/>
    <x v="0"/>
    <x v="2"/>
    <x v="2"/>
    <x v="10"/>
    <x v="10"/>
    <x v="10"/>
  </r>
  <r>
    <s v="VQR-01002-970"/>
    <x v="8"/>
    <s v="49315-21985-BB"/>
    <s v="E-L-2.5"/>
    <n v="5"/>
    <s v="Duky Phizackerly"/>
    <s v="dphizackerlyb@utexas.edu"/>
    <x v="0"/>
    <s v="San Jose"/>
    <x v="0"/>
    <x v="2"/>
    <x v="3"/>
    <x v="11"/>
    <x v="11"/>
    <x v="11"/>
  </r>
  <r>
    <s v="SZW-48378-399"/>
    <x v="9"/>
    <s v="34136-36674-OM"/>
    <s v="R-M-1"/>
    <n v="5"/>
    <s v="Rosaleen Scholar"/>
    <s v="rscholarc@nyu.edu"/>
    <x v="0"/>
    <s v="Richmond"/>
    <x v="1"/>
    <x v="0"/>
    <x v="0"/>
    <x v="12"/>
    <x v="12"/>
    <x v="12"/>
  </r>
  <r>
    <s v="ITA-87418-783"/>
    <x v="10"/>
    <s v="39396-12890-PE"/>
    <s v="R-D-2.5"/>
    <n v="2"/>
    <s v="Terence Vanyutin"/>
    <s v="tvanyutind@wix.com"/>
    <x v="0"/>
    <s v="Migrate"/>
    <x v="1"/>
    <x v="0"/>
    <x v="1"/>
    <x v="13"/>
    <x v="13"/>
    <x v="13"/>
  </r>
  <r>
    <s v="GNZ-46006-527"/>
    <x v="11"/>
    <s v="95875-73336-RG"/>
    <s v="L-D-0.2"/>
    <n v="3"/>
    <s v="Patrice Trobe"/>
    <s v="ptrobee@wunderground.com"/>
    <x v="0"/>
    <s v="Saint Louis"/>
    <x v="1"/>
    <x v="0"/>
    <x v="2"/>
    <x v="14"/>
    <x v="14"/>
    <x v="14"/>
  </r>
  <r>
    <s v="FYQ-78248-319"/>
    <x v="12"/>
    <s v="25473-43727-BY"/>
    <s v="R-M-2.5"/>
    <n v="5"/>
    <s v="Llywellyn Oscroft"/>
    <s v="loscroftf@ebay.co.uk"/>
    <x v="0"/>
    <s v="Philadelphia"/>
    <x v="1"/>
    <x v="0"/>
    <x v="3"/>
    <x v="15"/>
    <x v="15"/>
    <x v="15"/>
  </r>
  <r>
    <s v="VAU-44387-624"/>
    <x v="13"/>
    <s v="99643-51048-IQ"/>
    <s v="A-M-0.2"/>
    <n v="6"/>
    <s v="Minni Alabaster"/>
    <s v="malabasterg@hexun.com"/>
    <x v="0"/>
    <s v="Portland"/>
    <x v="1"/>
    <x v="1"/>
    <x v="0"/>
    <x v="8"/>
    <x v="16"/>
    <x v="16"/>
  </r>
  <r>
    <s v="RDW-33155-159"/>
    <x v="14"/>
    <s v="62173-15287-CU"/>
    <s v="A-L-1"/>
    <n v="6"/>
    <s v="Rhianon Broxup"/>
    <s v="rbroxuph@jimdo.com"/>
    <x v="0"/>
    <s v="Houston"/>
    <x v="1"/>
    <x v="1"/>
    <x v="1"/>
    <x v="9"/>
    <x v="17"/>
    <x v="17"/>
  </r>
  <r>
    <s v="TDZ-59011-211"/>
    <x v="15"/>
    <s v="57611-05522-ST"/>
    <s v="R-D-2.5"/>
    <n v="4"/>
    <s v="Pall Redford"/>
    <s v="predfordi@ow.ly"/>
    <x v="1"/>
    <s v="Caherconlish"/>
    <x v="1"/>
    <x v="1"/>
    <x v="2"/>
    <x v="10"/>
    <x v="10"/>
    <x v="18"/>
  </r>
  <r>
    <s v="IDU-25793-399"/>
    <x v="16"/>
    <s v="76664-37050-DT"/>
    <s v="A-M-0.2"/>
    <n v="5"/>
    <s v="Aurea Corradino"/>
    <s v="acorradinoj@harvard.edu"/>
    <x v="0"/>
    <s v="New York City"/>
    <x v="1"/>
    <x v="1"/>
    <x v="3"/>
    <x v="11"/>
    <x v="11"/>
    <x v="19"/>
  </r>
  <r>
    <s v="IDU-25793-399"/>
    <x v="16"/>
    <s v="76664-37050-DT"/>
    <s v="E-D-0.2"/>
    <n v="4"/>
    <s v="Kendal Scardefield"/>
    <n v="0"/>
    <x v="1"/>
    <s v="Clondalkin"/>
    <x v="1"/>
    <x v="2"/>
    <x v="0"/>
    <x v="16"/>
    <x v="18"/>
    <x v="20"/>
  </r>
  <r>
    <s v="NUO-20013-488"/>
    <x v="16"/>
    <s v="03090-88267-BQ"/>
    <s v="A-D-0.2"/>
    <n v="6"/>
    <s v="Avrit Davidowsky"/>
    <s v="adavidowskyl@netvibes.com"/>
    <x v="0"/>
    <s v="Grand Rapids"/>
    <x v="1"/>
    <x v="2"/>
    <x v="1"/>
    <x v="17"/>
    <x v="19"/>
    <x v="21"/>
  </r>
  <r>
    <s v="UQU-65630-479"/>
    <x v="17"/>
    <s v="37651-47492-NC"/>
    <s v="R-M-2.5"/>
    <n v="4"/>
    <s v="Annabel Antuk"/>
    <s v="aantukm@kickstarter.com"/>
    <x v="0"/>
    <s v="Punta Gorda"/>
    <x v="1"/>
    <x v="2"/>
    <x v="2"/>
    <x v="18"/>
    <x v="20"/>
    <x v="22"/>
  </r>
  <r>
    <s v="FEO-11834-332"/>
    <x v="18"/>
    <s v="95399-57205-HI"/>
    <s v="A-D-0.2"/>
    <n v="4"/>
    <s v="Iorgo Kleinert"/>
    <s v="ikleinertn@timesonline.co.uk"/>
    <x v="0"/>
    <s v="Vancouver"/>
    <x v="1"/>
    <x v="2"/>
    <x v="3"/>
    <x v="19"/>
    <x v="21"/>
    <x v="23"/>
  </r>
  <r>
    <s v="TKY-71558-096"/>
    <x v="19"/>
    <s v="24010-66714-HW"/>
    <s v="A-M-1"/>
    <n v="1"/>
    <s v="Chrisy Blofeld"/>
    <s v="cblofeldo@amazon.co.uk"/>
    <x v="0"/>
    <s v="Englewood"/>
    <x v="2"/>
    <x v="0"/>
    <x v="0"/>
    <x v="20"/>
    <x v="22"/>
    <x v="24"/>
  </r>
  <r>
    <s v="OXY-65322-253"/>
    <x v="20"/>
    <s v="07591-92789-UA"/>
    <s v="E-M-0.2"/>
    <n v="3"/>
    <s v="Culley Farris"/>
    <n v="0"/>
    <x v="0"/>
    <s v="Punta Gorda"/>
    <x v="2"/>
    <x v="0"/>
    <x v="1"/>
    <x v="21"/>
    <x v="23"/>
    <x v="25"/>
  </r>
  <r>
    <s v="EVP-43500-491"/>
    <x v="21"/>
    <s v="49231-44455-IC"/>
    <s v="A-M-0.5"/>
    <n v="4"/>
    <s v="Selene Shales"/>
    <s v="sshalesq@umich.edu"/>
    <x v="0"/>
    <s v="Petaluma"/>
    <x v="2"/>
    <x v="0"/>
    <x v="2"/>
    <x v="22"/>
    <x v="24"/>
    <x v="26"/>
  </r>
  <r>
    <s v="WAG-26945-689"/>
    <x v="22"/>
    <s v="50124-88608-EO"/>
    <s v="A-M-0.2"/>
    <n v="5"/>
    <s v="Vivie Danneil"/>
    <s v="vdanneilr@mtv.com"/>
    <x v="1"/>
    <s v="Tralee"/>
    <x v="2"/>
    <x v="0"/>
    <x v="3"/>
    <x v="23"/>
    <x v="25"/>
    <x v="27"/>
  </r>
  <r>
    <s v="CHE-78995-767"/>
    <x v="23"/>
    <s v="00888-74814-UZ"/>
    <s v="A-D-0.5"/>
    <n v="3"/>
    <s v="Theresita Newbury"/>
    <s v="tnewburys@usda.gov"/>
    <x v="1"/>
    <s v="Clonskeagh"/>
    <x v="2"/>
    <x v="1"/>
    <x v="0"/>
    <x v="24"/>
    <x v="26"/>
    <x v="28"/>
  </r>
  <r>
    <s v="RYZ-14633-602"/>
    <x v="21"/>
    <s v="14158-30713-OB"/>
    <s v="A-D-1"/>
    <n v="4"/>
    <s v="Mozelle Calcutt"/>
    <s v="mcalcuttt@baidu.com"/>
    <x v="1"/>
    <s v="Rathwire"/>
    <x v="2"/>
    <x v="1"/>
    <x v="1"/>
    <x v="25"/>
    <x v="27"/>
    <x v="29"/>
  </r>
  <r>
    <s v="WOQ-36015-429"/>
    <x v="24"/>
    <s v="51427-89175-QJ"/>
    <s v="L-M-0.2"/>
    <n v="5"/>
    <s v="Adrian Swaine"/>
    <n v="0"/>
    <x v="0"/>
    <s v="Aurora"/>
    <x v="2"/>
    <x v="1"/>
    <x v="2"/>
    <x v="26"/>
    <x v="28"/>
    <x v="30"/>
  </r>
  <r>
    <s v="WOQ-36015-429"/>
    <x v="24"/>
    <s v="51427-89175-QJ"/>
    <s v="A-D-0.5"/>
    <n v="6"/>
    <s v="Ray Leivesley"/>
    <s v="rleivesleyv@canalblog.com"/>
    <x v="0"/>
    <s v="Jamaica"/>
    <x v="2"/>
    <x v="1"/>
    <x v="3"/>
    <x v="27"/>
    <x v="29"/>
    <x v="31"/>
  </r>
  <r>
    <s v="WOQ-36015-429"/>
    <x v="24"/>
    <s v="51427-89175-QJ"/>
    <s v="L-M-0.5"/>
    <n v="6"/>
    <s v="Nelly Basezzi"/>
    <s v="nbasezziw@webeden.co.uk"/>
    <x v="1"/>
    <s v="Bailieborough"/>
    <x v="2"/>
    <x v="2"/>
    <x v="0"/>
    <x v="0"/>
    <x v="30"/>
    <x v="32"/>
  </r>
  <r>
    <s v="SCT-60553-454"/>
    <x v="25"/>
    <s v="39123-12846-YJ"/>
    <s v="L-L-0.2"/>
    <n v="5"/>
    <s v="Gallard Gatheral"/>
    <s v="ggatheralx@123-reg.co.uk"/>
    <x v="0"/>
    <s v="Grand Forks"/>
    <x v="2"/>
    <x v="2"/>
    <x v="1"/>
    <x v="1"/>
    <x v="1"/>
    <x v="33"/>
  </r>
  <r>
    <s v="GFK-52063-244"/>
    <x v="26"/>
    <s v="44981-99666-XB"/>
    <s v="L-L-0.5"/>
    <n v="6"/>
    <s v="Una Welberry"/>
    <s v="uwelberryy@ebay.co.uk"/>
    <x v="2"/>
    <s v="Upton"/>
    <x v="2"/>
    <x v="2"/>
    <x v="2"/>
    <x v="2"/>
    <x v="31"/>
    <x v="34"/>
  </r>
  <r>
    <s v="AMM-79521-378"/>
    <x v="27"/>
    <s v="24825-51803-CQ"/>
    <s v="A-D-0.5"/>
    <n v="6"/>
    <s v="Faber Eilhart"/>
    <s v="feilhartz@who.int"/>
    <x v="0"/>
    <s v="Charleston"/>
    <x v="2"/>
    <x v="2"/>
    <x v="3"/>
    <x v="3"/>
    <x v="32"/>
    <x v="35"/>
  </r>
  <r>
    <s v="QUQ-90580-772"/>
    <x v="28"/>
    <s v="77634-13918-GJ"/>
    <s v="L-M-0.2"/>
    <n v="2"/>
    <s v="Zorina Ponting"/>
    <s v="zponting10@altervista.org"/>
    <x v="0"/>
    <s v="Little Rock"/>
    <x v="3"/>
    <x v="0"/>
    <x v="0"/>
    <x v="28"/>
    <x v="33"/>
    <x v="36"/>
  </r>
  <r>
    <s v="LGD-24408-274"/>
    <x v="29"/>
    <s v="13694-25001-LX"/>
    <s v="L-L-0.5"/>
    <n v="3"/>
    <s v="Silvio Strase"/>
    <s v="sstrase11@booking.com"/>
    <x v="0"/>
    <s v="Denver"/>
    <x v="3"/>
    <x v="0"/>
    <x v="1"/>
    <x v="29"/>
    <x v="34"/>
    <x v="37"/>
  </r>
  <r>
    <s v="HCT-95608-959"/>
    <x v="30"/>
    <s v="08523-01791-TI"/>
    <s v="R-M-2.5"/>
    <n v="5"/>
    <s v="Dorie de la Tremoille"/>
    <s v="dde12@unesco.org"/>
    <x v="0"/>
    <s v="Minneapolis"/>
    <x v="3"/>
    <x v="0"/>
    <x v="2"/>
    <x v="30"/>
    <x v="35"/>
    <x v="38"/>
  </r>
  <r>
    <s v="OFX-99147-470"/>
    <x v="31"/>
    <s v="49860-68865-AB"/>
    <s v="R-M-1"/>
    <n v="6"/>
    <s v="Hy Zanetto"/>
    <n v="0"/>
    <x v="0"/>
    <s v="Tucson"/>
    <x v="3"/>
    <x v="0"/>
    <x v="3"/>
    <x v="31"/>
    <x v="36"/>
    <x v="39"/>
  </r>
  <r>
    <s v="LUO-37559-016"/>
    <x v="32"/>
    <s v="21240-83132-SP"/>
    <s v="L-M-1"/>
    <n v="3"/>
    <s v="Jessica McNess"/>
    <n v="0"/>
    <x v="0"/>
    <s v="New Orleans"/>
    <x v="3"/>
    <x v="1"/>
    <x v="0"/>
    <x v="32"/>
    <x v="37"/>
    <x v="40"/>
  </r>
  <r>
    <s v="XWC-20610-167"/>
    <x v="33"/>
    <s v="08350-81623-TF"/>
    <s v="E-D-0.2"/>
    <n v="2"/>
    <s v="Lorenzo Yeoland"/>
    <s v="lyeoland15@pbs.org"/>
    <x v="0"/>
    <s v="Hartford"/>
    <x v="3"/>
    <x v="1"/>
    <x v="1"/>
    <x v="33"/>
    <x v="38"/>
    <x v="41"/>
  </r>
  <r>
    <s v="GPU-79113-136"/>
    <x v="34"/>
    <s v="73284-01385-SJ"/>
    <s v="R-D-0.2"/>
    <n v="3"/>
    <s v="Abigail Tolworthy"/>
    <s v="atolworthy16@toplist.cz"/>
    <x v="0"/>
    <s v="Ogden"/>
    <x v="3"/>
    <x v="1"/>
    <x v="2"/>
    <x v="34"/>
    <x v="39"/>
    <x v="42"/>
  </r>
  <r>
    <s v="ULR-52653-960"/>
    <x v="35"/>
    <s v="04152-34436-IE"/>
    <s v="L-L-2.5"/>
    <n v="2"/>
    <s v="Maurie Bartol"/>
    <n v="0"/>
    <x v="0"/>
    <s v="Boston"/>
    <x v="3"/>
    <x v="1"/>
    <x v="3"/>
    <x v="35"/>
    <x v="40"/>
    <x v="43"/>
  </r>
  <r>
    <s v="HPI-42308-142"/>
    <x v="36"/>
    <s v="06631-86965-XP"/>
    <s v="E-M-0.5"/>
    <n v="2"/>
    <s v="Olag Baudassi"/>
    <s v="obaudassi18@seesaa.net"/>
    <x v="0"/>
    <s v="Rochester"/>
    <x v="3"/>
    <x v="2"/>
    <x v="0"/>
    <x v="36"/>
    <x v="41"/>
    <x v="44"/>
  </r>
  <r>
    <s v="XHI-30227-581"/>
    <x v="37"/>
    <s v="54619-08558-ZU"/>
    <s v="L-D-2.5"/>
    <n v="6"/>
    <s v="Petey Kingsbury"/>
    <s v="pkingsbury19@comcast.net"/>
    <x v="0"/>
    <s v="Bronx"/>
    <x v="3"/>
    <x v="2"/>
    <x v="1"/>
    <x v="37"/>
    <x v="42"/>
    <x v="45"/>
  </r>
  <r>
    <s v="DJH-05202-380"/>
    <x v="38"/>
    <s v="85589-17020-CX"/>
    <s v="E-M-2.5"/>
    <n v="2"/>
    <s v="Donna Baskeyfied"/>
    <n v="0"/>
    <x v="0"/>
    <s v="Birmingham"/>
    <x v="3"/>
    <x v="2"/>
    <x v="2"/>
    <x v="38"/>
    <x v="43"/>
    <x v="46"/>
  </r>
  <r>
    <s v="VMW-26889-781"/>
    <x v="39"/>
    <s v="36078-91009-WU"/>
    <s v="A-L-0.2"/>
    <n v="2"/>
    <s v="Arda Curley"/>
    <s v="acurley1b@hao123.com"/>
    <x v="0"/>
    <s v="San Bernardino"/>
    <x v="3"/>
    <x v="2"/>
    <x v="3"/>
    <x v="39"/>
    <x v="44"/>
    <x v="47"/>
  </r>
  <r>
    <s v="DBU-81099-586"/>
    <x v="40"/>
    <s v="15770-27099-GX"/>
    <s v="A-D-2.5"/>
    <n v="4"/>
    <s v="Raynor McGilvary"/>
    <s v="rmcgilvary1c@tamu.edu"/>
    <x v="0"/>
    <s v="Norfolk"/>
    <x v="4"/>
    <x v="3"/>
    <x v="4"/>
    <x v="40"/>
    <x v="45"/>
    <x v="48"/>
  </r>
  <r>
    <s v="PQA-54820-810"/>
    <x v="41"/>
    <s v="91460-04823-BX"/>
    <s v="A-L-1"/>
    <n v="3"/>
    <s v="Isis Pikett"/>
    <s v="ipikett1d@xinhuanet.com"/>
    <x v="0"/>
    <s v="Washington"/>
    <x v="4"/>
    <x v="3"/>
    <x v="4"/>
    <x v="40"/>
    <x v="45"/>
    <x v="48"/>
  </r>
  <r>
    <s v="XKB-41924-202"/>
    <x v="42"/>
    <s v="45089-52817-WN"/>
    <s v="L-D-0.5"/>
    <n v="2"/>
    <s v="Inger Bouldon"/>
    <s v="ibouldon1e@gizmodo.com"/>
    <x v="0"/>
    <s v="Fort Lauderdale"/>
    <x v="4"/>
    <x v="3"/>
    <x v="4"/>
    <x v="40"/>
    <x v="45"/>
    <x v="48"/>
  </r>
  <r>
    <s v="DWZ-69106-473"/>
    <x v="43"/>
    <s v="76447-50326-IC"/>
    <s v="L-L-2.5"/>
    <n v="4"/>
    <s v="Karry Flanders"/>
    <s v="kflanders1f@over-blog.com"/>
    <x v="1"/>
    <s v="Crumlin"/>
    <x v="4"/>
    <x v="3"/>
    <x v="4"/>
    <x v="40"/>
    <x v="45"/>
    <x v="48"/>
  </r>
  <r>
    <s v="YHV-68700-050"/>
    <x v="44"/>
    <s v="26333-67911-OL"/>
    <s v="R-M-0.5"/>
    <n v="5"/>
    <s v="Hartley Mattioli"/>
    <s v="hmattioli1g@webmd.com"/>
    <x v="2"/>
    <s v="Kinloch"/>
    <x v="4"/>
    <x v="3"/>
    <x v="4"/>
    <x v="40"/>
    <x v="45"/>
    <x v="48"/>
  </r>
  <r>
    <s v="YHV-68700-050"/>
    <x v="44"/>
    <s v="26333-67911-OL"/>
    <s v="L-L-2.5"/>
    <n v="2"/>
    <s v="Horatio Rubberts"/>
    <s v="hrubberts1h@google.com.hk"/>
    <x v="0"/>
    <s v="Provo"/>
    <x v="4"/>
    <x v="3"/>
    <x v="4"/>
    <x v="40"/>
    <x v="45"/>
    <x v="48"/>
  </r>
  <r>
    <s v="KRB-88066-642"/>
    <x v="45"/>
    <s v="22107-86640-SB"/>
    <s v="L-M-1"/>
    <n v="5"/>
    <s v="Archambault Gillard"/>
    <s v="agillard1i@issuu.com"/>
    <x v="0"/>
    <s v="Toledo"/>
    <x v="4"/>
    <x v="3"/>
    <x v="4"/>
    <x v="40"/>
    <x v="45"/>
    <x v="48"/>
  </r>
  <r>
    <s v="LQU-08404-173"/>
    <x v="46"/>
    <s v="09960-34242-LZ"/>
    <s v="L-L-1"/>
    <n v="3"/>
    <s v="Salomo Cushworth"/>
    <n v="0"/>
    <x v="0"/>
    <s v="Trenton"/>
    <x v="4"/>
    <x v="3"/>
    <x v="4"/>
    <x v="40"/>
    <x v="45"/>
    <x v="48"/>
  </r>
  <r>
    <s v="CWK-60159-881"/>
    <x v="47"/>
    <s v="04671-85591-RT"/>
    <s v="E-D-0.2"/>
    <n v="3"/>
    <s v="Theda Grizard"/>
    <s v="tgrizard1k@odnoklassniki.ru"/>
    <x v="0"/>
    <s v="Tampa"/>
    <x v="4"/>
    <x v="3"/>
    <x v="4"/>
    <x v="40"/>
    <x v="45"/>
    <x v="48"/>
  </r>
  <r>
    <s v="EEG-74197-843"/>
    <x v="48"/>
    <s v="25729-68859-UA"/>
    <s v="E-L-1"/>
    <n v="4"/>
    <s v="Rozele Relton"/>
    <s v="rrelton1l@stanford.edu"/>
    <x v="0"/>
    <s v="Pensacola"/>
    <x v="4"/>
    <x v="3"/>
    <x v="4"/>
    <x v="40"/>
    <x v="45"/>
    <x v="48"/>
  </r>
  <r>
    <s v="UCZ-59708-525"/>
    <x v="49"/>
    <s v="05501-86351-NX"/>
    <s v="L-D-2.5"/>
    <n v="3"/>
    <s v="Willa Rolling"/>
    <n v="0"/>
    <x v="0"/>
    <s v="Zephyrhills"/>
    <x v="4"/>
    <x v="3"/>
    <x v="4"/>
    <x v="40"/>
    <x v="45"/>
    <x v="48"/>
  </r>
  <r>
    <s v="HUB-47311-849"/>
    <x v="50"/>
    <s v="04521-04300-OK"/>
    <s v="L-M-0.5"/>
    <n v="3"/>
    <s v="Stanislaus Gilroy"/>
    <s v="sgilroy1n@eepurl.com"/>
    <x v="0"/>
    <s v="Saint Paul"/>
    <x v="4"/>
    <x v="3"/>
    <x v="4"/>
    <x v="40"/>
    <x v="45"/>
    <x v="48"/>
  </r>
  <r>
    <s v="WYM-17686-694"/>
    <x v="51"/>
    <s v="58689-55264-VK"/>
    <s v="A-D-2.5"/>
    <n v="5"/>
    <s v="Correy Cottingham"/>
    <s v="ccottingham1o@wikipedia.org"/>
    <x v="0"/>
    <s v="Fort Wayne"/>
    <x v="4"/>
    <x v="3"/>
    <x v="4"/>
    <x v="40"/>
    <x v="45"/>
    <x v="48"/>
  </r>
  <r>
    <s v="ZYQ-15797-695"/>
    <x v="52"/>
    <s v="79436-73011-MM"/>
    <s v="R-D-0.5"/>
    <n v="5"/>
    <s v="Pammi Endacott"/>
    <n v="0"/>
    <x v="2"/>
    <s v="Wootton"/>
    <x v="4"/>
    <x v="3"/>
    <x v="4"/>
    <x v="40"/>
    <x v="45"/>
    <x v="48"/>
  </r>
  <r>
    <s v="EEJ-16185-108"/>
    <x v="53"/>
    <s v="65552-60476-KY"/>
    <s v="L-L-0.2"/>
    <n v="5"/>
    <s v="Nona Linklater"/>
    <n v="0"/>
    <x v="0"/>
    <s v="Naples"/>
    <x v="4"/>
    <x v="3"/>
    <x v="4"/>
    <x v="40"/>
    <x v="45"/>
    <x v="48"/>
  </r>
  <r>
    <s v="RWR-77888-800"/>
    <x v="54"/>
    <s v="69904-02729-YS"/>
    <s v="A-M-0.5"/>
    <n v="1"/>
    <s v="Annadiane Dykes"/>
    <s v="adykes1r@eventbrite.com"/>
    <x v="0"/>
    <s v="Chicago"/>
    <x v="4"/>
    <x v="3"/>
    <x v="4"/>
    <x v="40"/>
    <x v="45"/>
    <x v="48"/>
  </r>
  <r>
    <s v="LHN-75209-742"/>
    <x v="55"/>
    <s v="01433-04270-AX"/>
    <s v="R-M-0.5"/>
    <n v="6"/>
    <s v="Felecia Dodgson"/>
    <n v="0"/>
    <x v="0"/>
    <s v="Newark"/>
    <x v="4"/>
    <x v="3"/>
    <x v="4"/>
    <x v="40"/>
    <x v="45"/>
    <x v="48"/>
  </r>
  <r>
    <s v="TIR-71396-998"/>
    <x v="56"/>
    <s v="14204-14186-LA"/>
    <s v="R-D-2.5"/>
    <n v="4"/>
    <s v="Angelia Cockrem"/>
    <s v="acockrem1t@engadget.com"/>
    <x v="0"/>
    <s v="Vienna"/>
    <x v="4"/>
    <x v="3"/>
    <x v="4"/>
    <x v="40"/>
    <x v="45"/>
    <x v="48"/>
  </r>
  <r>
    <s v="RXF-37618-213"/>
    <x v="57"/>
    <s v="32948-34398-HC"/>
    <s v="R-L-0.5"/>
    <n v="1"/>
    <s v="Belvia Umpleby"/>
    <s v="bumpleby1u@soundcloud.com"/>
    <x v="0"/>
    <s v="Fort Worth"/>
    <x v="4"/>
    <x v="3"/>
    <x v="4"/>
    <x v="40"/>
    <x v="45"/>
    <x v="48"/>
  </r>
  <r>
    <s v="ANM-16388-634"/>
    <x v="58"/>
    <s v="77343-52608-FF"/>
    <s v="L-L-0.2"/>
    <n v="2"/>
    <s v="Nat Saleway"/>
    <s v="nsaleway1v@dedecms.com"/>
    <x v="0"/>
    <s v="Burbank"/>
    <x v="4"/>
    <x v="3"/>
    <x v="4"/>
    <x v="40"/>
    <x v="45"/>
    <x v="48"/>
  </r>
  <r>
    <s v="WYL-29300-070"/>
    <x v="59"/>
    <s v="42770-36274-QA"/>
    <s v="R-M-0.2"/>
    <n v="1"/>
    <s v="Hayward Goulter"/>
    <s v="hgoulter1w@abc.net.au"/>
    <x v="0"/>
    <s v="Kingsport"/>
    <x v="4"/>
    <x v="3"/>
    <x v="4"/>
    <x v="40"/>
    <x v="45"/>
    <x v="48"/>
  </r>
  <r>
    <s v="JHW-74554-805"/>
    <x v="60"/>
    <s v="14103-58987-ZU"/>
    <s v="R-M-1"/>
    <n v="6"/>
    <s v="Gay Rizzello"/>
    <s v="grizzello1x@symantec.com"/>
    <x v="2"/>
    <s v="Liverpool"/>
    <x v="4"/>
    <x v="3"/>
    <x v="4"/>
    <x v="40"/>
    <x v="45"/>
    <x v="48"/>
  </r>
  <r>
    <s v="KYS-27063-603"/>
    <x v="61"/>
    <s v="69958-32065-SW"/>
    <s v="E-L-2.5"/>
    <n v="4"/>
    <s v="Shannon List"/>
    <s v="slist1y@mapquest.com"/>
    <x v="0"/>
    <s v="Columbus"/>
    <x v="4"/>
    <x v="3"/>
    <x v="4"/>
    <x v="40"/>
    <x v="45"/>
    <x v="48"/>
  </r>
  <r>
    <s v="GAZ-58626-277"/>
    <x v="62"/>
    <s v="69533-84907-FA"/>
    <s v="L-L-0.2"/>
    <n v="2"/>
    <s v="Shirlene Edmondson"/>
    <s v="sedmondson1z@theguardian.com"/>
    <x v="1"/>
    <s v="Newmarket on Fergus"/>
    <x v="4"/>
    <x v="3"/>
    <x v="4"/>
    <x v="40"/>
    <x v="45"/>
    <x v="48"/>
  </r>
  <r>
    <s v="RPJ-37787-335"/>
    <x v="63"/>
    <s v="76005-95461-CI"/>
    <s v="A-M-2.5"/>
    <n v="3"/>
    <s v="Aurlie McCarl"/>
    <n v="0"/>
    <x v="0"/>
    <s v="New Orleans"/>
    <x v="4"/>
    <x v="3"/>
    <x v="4"/>
    <x v="40"/>
    <x v="45"/>
    <x v="48"/>
  </r>
  <r>
    <s v="LEF-83057-763"/>
    <x v="64"/>
    <s v="15395-90855-VB"/>
    <s v="L-M-0.2"/>
    <n v="5"/>
    <s v="Alikee Carryer"/>
    <n v="0"/>
    <x v="0"/>
    <s v="Charlotte"/>
    <x v="4"/>
    <x v="3"/>
    <x v="4"/>
    <x v="40"/>
    <x v="45"/>
    <x v="48"/>
  </r>
  <r>
    <s v="RPW-36123-215"/>
    <x v="65"/>
    <s v="80640-45811-LB"/>
    <s v="E-L-0.5"/>
    <n v="2"/>
    <s v="Jennifer Rangall"/>
    <s v="jrangall22@newsvine.com"/>
    <x v="0"/>
    <s v="Springfield"/>
    <x v="4"/>
    <x v="3"/>
    <x v="4"/>
    <x v="40"/>
    <x v="45"/>
    <x v="48"/>
  </r>
  <r>
    <s v="WLL-59044-117"/>
    <x v="66"/>
    <s v="28476-04082-GR"/>
    <s v="R-D-1"/>
    <n v="6"/>
    <s v="Kipper Boorn"/>
    <s v="kboorn23@ezinearticles.com"/>
    <x v="1"/>
    <s v="Listowel"/>
    <x v="4"/>
    <x v="3"/>
    <x v="4"/>
    <x v="40"/>
    <x v="45"/>
    <x v="48"/>
  </r>
  <r>
    <s v="AWT-22827-563"/>
    <x v="67"/>
    <s v="12018-75670-EU"/>
    <s v="R-L-0.2"/>
    <n v="1"/>
    <s v="Melania Beadle"/>
    <n v="0"/>
    <x v="1"/>
    <s v="Moycullen"/>
    <x v="4"/>
    <x v="3"/>
    <x v="4"/>
    <x v="40"/>
    <x v="45"/>
    <x v="48"/>
  </r>
  <r>
    <s v="QLM-07145-668"/>
    <x v="68"/>
    <s v="86437-17399-FK"/>
    <s v="E-D-0.2"/>
    <n v="2"/>
    <s v="Colene Elgey"/>
    <s v="celgey25@webs.com"/>
    <x v="0"/>
    <s v="Midland"/>
    <x v="4"/>
    <x v="3"/>
    <x v="4"/>
    <x v="40"/>
    <x v="45"/>
    <x v="48"/>
  </r>
  <r>
    <s v="HVQ-64398-930"/>
    <x v="69"/>
    <s v="62979-53167-ML"/>
    <s v="A-M-0.5"/>
    <n v="6"/>
    <s v="Lothaire Mizzi"/>
    <s v="lmizzi26@rakuten.co.jp"/>
    <x v="0"/>
    <s v="Dallas"/>
    <x v="4"/>
    <x v="3"/>
    <x v="4"/>
    <x v="40"/>
    <x v="45"/>
    <x v="48"/>
  </r>
  <r>
    <s v="WRT-40778-247"/>
    <x v="70"/>
    <s v="54810-81899-HL"/>
    <s v="R-L-1"/>
    <n v="4"/>
    <s v="Cletis Giacomazzo"/>
    <s v="cgiacomazzo27@jigsy.com"/>
    <x v="0"/>
    <s v="Dulles"/>
    <x v="4"/>
    <x v="3"/>
    <x v="4"/>
    <x v="40"/>
    <x v="45"/>
    <x v="48"/>
  </r>
  <r>
    <s v="SUB-13006-125"/>
    <x v="71"/>
    <s v="26103-41504-IB"/>
    <s v="A-L-0.5"/>
    <n v="5"/>
    <s v="Ami Arnow"/>
    <s v="aarnow28@arizona.edu"/>
    <x v="0"/>
    <s v="Oakland"/>
    <x v="4"/>
    <x v="3"/>
    <x v="4"/>
    <x v="40"/>
    <x v="45"/>
    <x v="48"/>
  </r>
  <r>
    <s v="CQM-49696-263"/>
    <x v="72"/>
    <s v="76534-45229-SG"/>
    <s v="L-L-2.5"/>
    <n v="3"/>
    <s v="Sheppard Yann"/>
    <s v="syann29@senate.gov"/>
    <x v="0"/>
    <s v="Colorado Springs"/>
    <x v="4"/>
    <x v="3"/>
    <x v="4"/>
    <x v="40"/>
    <x v="45"/>
    <x v="48"/>
  </r>
  <r>
    <s v="KXN-85094-246"/>
    <x v="73"/>
    <s v="81744-27332-RR"/>
    <s v="L-M-2.5"/>
    <n v="3"/>
    <s v="Bunny Naulls"/>
    <s v="bnaulls2a@tiny.cc"/>
    <x v="1"/>
    <s v="Adare"/>
    <x v="4"/>
    <x v="3"/>
    <x v="4"/>
    <x v="40"/>
    <x v="45"/>
    <x v="48"/>
  </r>
  <r>
    <s v="XOQ-12405-419"/>
    <x v="74"/>
    <s v="91513-75657-PH"/>
    <s v="R-D-2.5"/>
    <n v="4"/>
    <s v="Hally Lorait"/>
    <n v="0"/>
    <x v="0"/>
    <s v="Buffalo"/>
    <x v="4"/>
    <x v="3"/>
    <x v="4"/>
    <x v="40"/>
    <x v="45"/>
    <x v="48"/>
  </r>
  <r>
    <s v="HYF-10254-369"/>
    <x v="75"/>
    <s v="30373-66619-CB"/>
    <s v="L-L-0.5"/>
    <n v="1"/>
    <s v="Zaccaria Sherewood"/>
    <s v="zsherewood2c@apache.org"/>
    <x v="0"/>
    <s v="Fresno"/>
    <x v="4"/>
    <x v="3"/>
    <x v="4"/>
    <x v="40"/>
    <x v="45"/>
    <x v="48"/>
  </r>
  <r>
    <s v="XXJ-47000-307"/>
    <x v="76"/>
    <s v="31582-23562-FM"/>
    <s v="A-L-2.5"/>
    <n v="3"/>
    <s v="Jeffrey Dufaire"/>
    <s v="jdufaire2d@fc2.com"/>
    <x v="0"/>
    <s v="Fort Worth"/>
    <x v="4"/>
    <x v="3"/>
    <x v="4"/>
    <x v="40"/>
    <x v="45"/>
    <x v="48"/>
  </r>
  <r>
    <s v="XXJ-47000-307"/>
    <x v="76"/>
    <s v="31582-23562-FM"/>
    <s v="A-D-0.2"/>
    <n v="4"/>
    <s v="Blancha McAmish"/>
    <s v="bmcamish2e@tripadvisor.com"/>
    <x v="0"/>
    <s v="Oklahoma City"/>
    <x v="4"/>
    <x v="3"/>
    <x v="4"/>
    <x v="40"/>
    <x v="45"/>
    <x v="48"/>
  </r>
  <r>
    <s v="ZDK-82166-357"/>
    <x v="77"/>
    <s v="81431-12577-VD"/>
    <s v="A-M-1"/>
    <n v="3"/>
    <s v="Beitris Keaveney"/>
    <s v="bkeaveney2f@netlog.com"/>
    <x v="0"/>
    <s v="Beaumont"/>
    <x v="4"/>
    <x v="3"/>
    <x v="4"/>
    <x v="40"/>
    <x v="45"/>
    <x v="48"/>
  </r>
  <r>
    <s v="IHN-19982-362"/>
    <x v="78"/>
    <s v="68894-91205-MP"/>
    <s v="R-L-1"/>
    <n v="3"/>
    <s v="Elna Grise"/>
    <s v="egrise2g@cargocollective.com"/>
    <x v="0"/>
    <s v="Reno"/>
    <x v="4"/>
    <x v="3"/>
    <x v="4"/>
    <x v="40"/>
    <x v="45"/>
    <x v="48"/>
  </r>
  <r>
    <s v="VMT-10030-889"/>
    <x v="79"/>
    <s v="87602-55754-VN"/>
    <s v="A-L-1"/>
    <n v="6"/>
    <s v="Torie Gottelier"/>
    <s v="tgottelier2h@vistaprint.com"/>
    <x v="0"/>
    <s v="Kansas City"/>
    <x v="4"/>
    <x v="3"/>
    <x v="4"/>
    <x v="40"/>
    <x v="45"/>
    <x v="48"/>
  </r>
  <r>
    <s v="NHL-11063-100"/>
    <x v="80"/>
    <s v="39181-35745-WH"/>
    <s v="A-L-1"/>
    <n v="4"/>
    <s v="Loydie Langlais"/>
    <n v="0"/>
    <x v="1"/>
    <s v="Crumlin"/>
    <x v="4"/>
    <x v="3"/>
    <x v="4"/>
    <x v="40"/>
    <x v="45"/>
    <x v="48"/>
  </r>
  <r>
    <s v="ROV-87448-086"/>
    <x v="81"/>
    <s v="30381-64762-NG"/>
    <s v="A-M-2.5"/>
    <n v="4"/>
    <s v="Adham Greenhead"/>
    <s v="agreenhead2j@dailymail.co.uk"/>
    <x v="0"/>
    <s v="Corona"/>
    <x v="4"/>
    <x v="3"/>
    <x v="4"/>
    <x v="40"/>
    <x v="45"/>
    <x v="48"/>
  </r>
  <r>
    <s v="DGY-35773-612"/>
    <x v="82"/>
    <s v="17503-27693-ZH"/>
    <s v="E-L-1"/>
    <n v="3"/>
    <s v="Hamish MacSherry"/>
    <n v="0"/>
    <x v="0"/>
    <s v="Austin"/>
    <x v="4"/>
    <x v="3"/>
    <x v="4"/>
    <x v="40"/>
    <x v="45"/>
    <x v="48"/>
  </r>
  <r>
    <s v="YWH-50638-556"/>
    <x v="83"/>
    <s v="89442-35633-HJ"/>
    <s v="E-L-0.5"/>
    <n v="4"/>
    <s v="Else Langcaster"/>
    <s v="elangcaster2l@spotify.com"/>
    <x v="2"/>
    <s v="Normanton"/>
    <x v="4"/>
    <x v="3"/>
    <x v="4"/>
    <x v="40"/>
    <x v="45"/>
    <x v="48"/>
  </r>
  <r>
    <s v="ISL-11200-600"/>
    <x v="84"/>
    <s v="13654-85265-IL"/>
    <s v="A-D-0.2"/>
    <n v="6"/>
    <s v="Rudy Farquharson"/>
    <n v="0"/>
    <x v="1"/>
    <s v="Charlesland"/>
    <x v="4"/>
    <x v="3"/>
    <x v="4"/>
    <x v="40"/>
    <x v="45"/>
    <x v="48"/>
  </r>
  <r>
    <s v="LBZ-75997-047"/>
    <x v="85"/>
    <s v="40946-22090-FP"/>
    <s v="A-M-2.5"/>
    <n v="6"/>
    <s v="Norene Magauran"/>
    <s v="nmagauran2n@51.la"/>
    <x v="0"/>
    <s v="Fresno"/>
    <x v="4"/>
    <x v="3"/>
    <x v="4"/>
    <x v="40"/>
    <x v="45"/>
    <x v="48"/>
  </r>
  <r>
    <s v="EUH-08089-954"/>
    <x v="86"/>
    <s v="29050-93691-TS"/>
    <s v="A-D-0.2"/>
    <n v="2"/>
    <s v="Vicki Kirdsch"/>
    <s v="vkirdsch2o@google.fr"/>
    <x v="0"/>
    <s v="Saint Louis"/>
    <x v="4"/>
    <x v="3"/>
    <x v="4"/>
    <x v="40"/>
    <x v="45"/>
    <x v="48"/>
  </r>
  <r>
    <s v="BLD-12227-251"/>
    <x v="87"/>
    <s v="64395-74865-WF"/>
    <s v="A-M-0.5"/>
    <n v="2"/>
    <s v="Ilysa Whapple"/>
    <s v="iwhapple2p@com.com"/>
    <x v="0"/>
    <s v="Fresno"/>
    <x v="4"/>
    <x v="3"/>
    <x v="4"/>
    <x v="40"/>
    <x v="45"/>
    <x v="48"/>
  </r>
  <r>
    <s v="OPY-30711-853"/>
    <x v="25"/>
    <s v="81861-66046-SU"/>
    <s v="A-D-0.2"/>
    <n v="1"/>
    <s v="Ruy Cancellieri"/>
    <n v="0"/>
    <x v="1"/>
    <s v="Confey"/>
    <x v="4"/>
    <x v="3"/>
    <x v="4"/>
    <x v="40"/>
    <x v="45"/>
    <x v="48"/>
  </r>
  <r>
    <s v="DBC-44122-300"/>
    <x v="88"/>
    <s v="13366-78506-KP"/>
    <s v="L-M-0.2"/>
    <n v="3"/>
    <s v="Aube Follett"/>
    <n v="0"/>
    <x v="0"/>
    <s v="Columbus"/>
    <x v="4"/>
    <x v="3"/>
    <x v="4"/>
    <x v="40"/>
    <x v="45"/>
    <x v="48"/>
  </r>
  <r>
    <s v="FJQ-60035-234"/>
    <x v="89"/>
    <s v="08847-29858-HN"/>
    <s v="A-L-0.2"/>
    <n v="2"/>
    <s v="Rudiger Di Bartolomeo"/>
    <n v="0"/>
    <x v="0"/>
    <s v="Stockton"/>
    <x v="4"/>
    <x v="3"/>
    <x v="4"/>
    <x v="40"/>
    <x v="45"/>
    <x v="48"/>
  </r>
  <r>
    <s v="HSF-66926-425"/>
    <x v="90"/>
    <s v="00539-42510-RY"/>
    <s v="L-D-2.5"/>
    <n v="5"/>
    <s v="Nickey Youles"/>
    <s v="nyoules2t@reference.com"/>
    <x v="1"/>
    <s v="Edgeworthstown"/>
    <x v="4"/>
    <x v="3"/>
    <x v="4"/>
    <x v="40"/>
    <x v="45"/>
    <x v="48"/>
  </r>
  <r>
    <s v="LQG-41416-375"/>
    <x v="91"/>
    <s v="45190-08727-NV"/>
    <s v="L-D-1"/>
    <n v="3"/>
    <s v="Dyanna Aizikovitz"/>
    <s v="daizikovitz2u@answers.com"/>
    <x v="1"/>
    <s v="Leixlip"/>
    <x v="4"/>
    <x v="3"/>
    <x v="4"/>
    <x v="40"/>
    <x v="45"/>
    <x v="48"/>
  </r>
  <r>
    <s v="VZO-97265-841"/>
    <x v="92"/>
    <s v="87049-37901-FU"/>
    <s v="R-M-0.2"/>
    <n v="4"/>
    <s v="Bram Revel"/>
    <s v="brevel2v@fastcompany.com"/>
    <x v="0"/>
    <s v="Rochester"/>
    <x v="4"/>
    <x v="3"/>
    <x v="4"/>
    <x v="40"/>
    <x v="45"/>
    <x v="48"/>
  </r>
  <r>
    <s v="MOR-12987-399"/>
    <x v="93"/>
    <s v="34015-31593-JC"/>
    <s v="L-M-1"/>
    <n v="6"/>
    <s v="Emiline Priddis"/>
    <s v="epriddis2w@nationalgeographic.com"/>
    <x v="0"/>
    <s v="Tuscaloosa"/>
    <x v="4"/>
    <x v="3"/>
    <x v="4"/>
    <x v="40"/>
    <x v="45"/>
    <x v="48"/>
  </r>
  <r>
    <s v="UOA-23786-489"/>
    <x v="94"/>
    <s v="90305-50099-SV"/>
    <s v="A-M-0.5"/>
    <n v="6"/>
    <s v="Queenie Veel"/>
    <s v="qveel2x@jugem.jp"/>
    <x v="0"/>
    <s v="Houston"/>
    <x v="4"/>
    <x v="3"/>
    <x v="4"/>
    <x v="40"/>
    <x v="45"/>
    <x v="48"/>
  </r>
  <r>
    <s v="AJL-52941-018"/>
    <x v="95"/>
    <s v="55871-61935-MF"/>
    <s v="E-D-1"/>
    <n v="2"/>
    <s v="Lind Conyers"/>
    <s v="lconyers2y@twitter.com"/>
    <x v="0"/>
    <s v="El Paso"/>
    <x v="4"/>
    <x v="3"/>
    <x v="4"/>
    <x v="40"/>
    <x v="45"/>
    <x v="48"/>
  </r>
  <r>
    <s v="XSZ-84273-421"/>
    <x v="96"/>
    <s v="15405-60469-TM"/>
    <s v="R-M-0.5"/>
    <n v="3"/>
    <s v="Pen Wye"/>
    <s v="pwye2z@dagondesign.com"/>
    <x v="0"/>
    <s v="Colorado Springs"/>
    <x v="4"/>
    <x v="3"/>
    <x v="4"/>
    <x v="40"/>
    <x v="45"/>
    <x v="48"/>
  </r>
  <r>
    <s v="NUN-48214-216"/>
    <x v="97"/>
    <s v="06953-94794-FB"/>
    <s v="A-M-0.5"/>
    <n v="4"/>
    <s v="Isahella Hagland"/>
    <n v="0"/>
    <x v="0"/>
    <s v="Fort Wayne"/>
    <x v="4"/>
    <x v="3"/>
    <x v="4"/>
    <x v="40"/>
    <x v="45"/>
    <x v="48"/>
  </r>
  <r>
    <s v="AKV-93064-769"/>
    <x v="98"/>
    <s v="22305-40299-CY"/>
    <s v="L-D-0.5"/>
    <n v="1"/>
    <s v="Terry Sheryn"/>
    <s v="tsheryn31@mtv.com"/>
    <x v="0"/>
    <s v="Port Washington"/>
    <x v="4"/>
    <x v="3"/>
    <x v="4"/>
    <x v="40"/>
    <x v="45"/>
    <x v="48"/>
  </r>
  <r>
    <s v="BRB-40903-533"/>
    <x v="99"/>
    <s v="09020-56774-GU"/>
    <s v="E-L-0.2"/>
    <n v="3"/>
    <s v="Marie-jeanne Redgrave"/>
    <s v="mredgrave32@cargocollective.com"/>
    <x v="0"/>
    <s v="Springfield"/>
    <x v="4"/>
    <x v="3"/>
    <x v="4"/>
    <x v="40"/>
    <x v="45"/>
    <x v="48"/>
  </r>
  <r>
    <s v="GPR-19973-483"/>
    <x v="100"/>
    <s v="92926-08470-YS"/>
    <s v="R-D-0.5"/>
    <n v="5"/>
    <s v="Betty Fominov"/>
    <s v="bfominov33@yale.edu"/>
    <x v="0"/>
    <s v="Pensacola"/>
    <x v="4"/>
    <x v="3"/>
    <x v="4"/>
    <x v="40"/>
    <x v="45"/>
    <x v="48"/>
  </r>
  <r>
    <s v="XIY-43041-882"/>
    <x v="101"/>
    <s v="07250-63194-JO"/>
    <s v="A-M-1"/>
    <n v="1"/>
    <s v="Shawnee Critchlow"/>
    <s v="scritchlow34@un.org"/>
    <x v="0"/>
    <s v="Richmond"/>
    <x v="4"/>
    <x v="3"/>
    <x v="4"/>
    <x v="40"/>
    <x v="45"/>
    <x v="48"/>
  </r>
  <r>
    <s v="YGY-98425-969"/>
    <x v="102"/>
    <s v="63787-96257-TQ"/>
    <s v="L-M-1"/>
    <n v="1"/>
    <s v="Merrel Steptow"/>
    <s v="msteptow35@earthlink.net"/>
    <x v="1"/>
    <s v="Cherryville"/>
    <x v="4"/>
    <x v="3"/>
    <x v="4"/>
    <x v="40"/>
    <x v="45"/>
    <x v="48"/>
  </r>
  <r>
    <s v="MSB-08397-648"/>
    <x v="103"/>
    <s v="49530-25460-RW"/>
    <s v="R-L-0.2"/>
    <n v="4"/>
    <s v="Carmina Hubbuck"/>
    <n v="0"/>
    <x v="0"/>
    <s v="Huntington"/>
    <x v="4"/>
    <x v="3"/>
    <x v="4"/>
    <x v="40"/>
    <x v="45"/>
    <x v="48"/>
  </r>
  <r>
    <s v="WDR-06028-345"/>
    <x v="104"/>
    <s v="66508-21373-OQ"/>
    <s v="L-L-1"/>
    <n v="1"/>
    <s v="Ingeberg Mulliner"/>
    <s v="imulliner37@pinterest.com"/>
    <x v="2"/>
    <s v="Birmingham"/>
    <x v="4"/>
    <x v="3"/>
    <x v="4"/>
    <x v="40"/>
    <x v="45"/>
    <x v="48"/>
  </r>
  <r>
    <s v="MXM-42948-061"/>
    <x v="105"/>
    <s v="20203-03950-FY"/>
    <s v="L-L-0.2"/>
    <n v="4"/>
    <s v="Geneva Standley"/>
    <s v="gstandley38@dion.ne.jp"/>
    <x v="1"/>
    <s v="Killorglin"/>
    <x v="4"/>
    <x v="3"/>
    <x v="4"/>
    <x v="40"/>
    <x v="45"/>
    <x v="48"/>
  </r>
  <r>
    <s v="MGQ-98961-173"/>
    <x v="11"/>
    <s v="83895-90735-XH"/>
    <s v="L-L-0.5"/>
    <n v="4"/>
    <s v="Brook Drage"/>
    <s v="bdrage39@youku.com"/>
    <x v="0"/>
    <s v="Dayton"/>
    <x v="4"/>
    <x v="3"/>
    <x v="4"/>
    <x v="40"/>
    <x v="45"/>
    <x v="48"/>
  </r>
  <r>
    <s v="RFH-64349-897"/>
    <x v="106"/>
    <s v="61954-61462-RJ"/>
    <s v="E-D-0.5"/>
    <n v="3"/>
    <s v="Muffin Yallop"/>
    <s v="myallop3a@fema.gov"/>
    <x v="0"/>
    <s v="Anchorage"/>
    <x v="4"/>
    <x v="3"/>
    <x v="4"/>
    <x v="40"/>
    <x v="45"/>
    <x v="48"/>
  </r>
  <r>
    <s v="TKL-20738-660"/>
    <x v="107"/>
    <s v="47939-53158-LS"/>
    <s v="E-M-0.2"/>
    <n v="1"/>
    <s v="Cordi Switsur"/>
    <s v="cswitsur3b@chronoengine.com"/>
    <x v="0"/>
    <s v="Nashville"/>
    <x v="4"/>
    <x v="3"/>
    <x v="4"/>
    <x v="40"/>
    <x v="45"/>
    <x v="48"/>
  </r>
  <r>
    <s v="TKL-20738-660"/>
    <x v="107"/>
    <s v="47939-53158-LS"/>
    <s v="A-L-0.2"/>
    <n v="1"/>
    <s v="Ezri Hows"/>
    <s v="ehows3c@devhub.com"/>
    <x v="0"/>
    <s v="Los Angeles"/>
    <x v="4"/>
    <x v="3"/>
    <x v="4"/>
    <x v="40"/>
    <x v="45"/>
    <x v="48"/>
  </r>
  <r>
    <s v="TKL-20738-660"/>
    <x v="107"/>
    <s v="47939-53158-LS"/>
    <s v="E-M-1"/>
    <n v="5"/>
    <s v="Sylas Becaris"/>
    <s v="sbecaris3d@google.ru"/>
    <x v="0"/>
    <s v="Charlotte"/>
    <x v="4"/>
    <x v="3"/>
    <x v="4"/>
    <x v="40"/>
    <x v="45"/>
    <x v="48"/>
  </r>
  <r>
    <s v="GOW-03198-575"/>
    <x v="108"/>
    <s v="61513-27752-FA"/>
    <s v="A-D-0.5"/>
    <n v="4"/>
    <s v="Mahala Ludwell"/>
    <s v="mludwell3e@blogger.com"/>
    <x v="0"/>
    <s v="Denver"/>
    <x v="4"/>
    <x v="3"/>
    <x v="4"/>
    <x v="40"/>
    <x v="45"/>
    <x v="48"/>
  </r>
  <r>
    <s v="QJB-90477-635"/>
    <x v="109"/>
    <s v="89714-19856-WX"/>
    <s v="L-L-2.5"/>
    <n v="4"/>
    <s v="Doll Beauchamp"/>
    <s v="dbeauchamp3f@usda.gov"/>
    <x v="0"/>
    <s v="Stamford"/>
    <x v="4"/>
    <x v="3"/>
    <x v="4"/>
    <x v="40"/>
    <x v="45"/>
    <x v="48"/>
  </r>
  <r>
    <s v="MWP-46239-785"/>
    <x v="110"/>
    <s v="87979-56781-YV"/>
    <s v="L-M-0.2"/>
    <n v="5"/>
    <s v="Stanford Rodliff"/>
    <s v="srodliff3g@ted.com"/>
    <x v="0"/>
    <s v="Newport News"/>
    <x v="4"/>
    <x v="3"/>
    <x v="4"/>
    <x v="40"/>
    <x v="45"/>
    <x v="48"/>
  </r>
  <r>
    <s v="QDV-03406-248"/>
    <x v="111"/>
    <s v="74126-88836-KA"/>
    <s v="L-M-0.5"/>
    <n v="3"/>
    <s v="Stevana Woodham"/>
    <s v="swoodham3h@businesswire.com"/>
    <x v="1"/>
    <s v="Drumcondra"/>
    <x v="4"/>
    <x v="3"/>
    <x v="4"/>
    <x v="40"/>
    <x v="45"/>
    <x v="48"/>
  </r>
  <r>
    <s v="GPH-40635-105"/>
    <x v="112"/>
    <s v="37397-05992-VO"/>
    <s v="A-M-1"/>
    <n v="1"/>
    <s v="Hewet Synnot"/>
    <s v="hsynnot3i@about.com"/>
    <x v="0"/>
    <s v="Anchorage"/>
    <x v="4"/>
    <x v="3"/>
    <x v="4"/>
    <x v="40"/>
    <x v="45"/>
    <x v="48"/>
  </r>
  <r>
    <s v="JOM-80930-071"/>
    <x v="113"/>
    <s v="54904-18397-UD"/>
    <s v="L-D-1"/>
    <n v="6"/>
    <s v="Raleigh Lepere"/>
    <s v="rlepere3j@shop-pro.jp"/>
    <x v="1"/>
    <s v="Beaumont"/>
    <x v="4"/>
    <x v="3"/>
    <x v="4"/>
    <x v="40"/>
    <x v="45"/>
    <x v="48"/>
  </r>
  <r>
    <s v="OIL-26493-755"/>
    <x v="114"/>
    <s v="19017-95853-EK"/>
    <s v="A-M-0.5"/>
    <n v="1"/>
    <s v="Timofei Woofinden"/>
    <s v="twoofinden3k@businesswire.com"/>
    <x v="0"/>
    <s v="Fargo"/>
    <x v="4"/>
    <x v="3"/>
    <x v="4"/>
    <x v="40"/>
    <x v="45"/>
    <x v="48"/>
  </r>
  <r>
    <s v="CYV-13426-645"/>
    <x v="115"/>
    <s v="88593-59934-VU"/>
    <s v="E-D-1"/>
    <n v="1"/>
    <s v="Evelina Dacca"/>
    <s v="edacca3l@google.pl"/>
    <x v="0"/>
    <s v="Evansville"/>
    <x v="4"/>
    <x v="3"/>
    <x v="4"/>
    <x v="40"/>
    <x v="45"/>
    <x v="48"/>
  </r>
  <r>
    <s v="WRP-39846-614"/>
    <x v="49"/>
    <s v="47493-68564-YM"/>
    <s v="A-L-2.5"/>
    <n v="5"/>
    <s v="Bidget Tremellier"/>
    <n v="0"/>
    <x v="1"/>
    <s v="Cherryville"/>
    <x v="4"/>
    <x v="3"/>
    <x v="4"/>
    <x v="40"/>
    <x v="45"/>
    <x v="48"/>
  </r>
  <r>
    <s v="VDZ-76673-968"/>
    <x v="116"/>
    <s v="82246-82543-DW"/>
    <s v="E-D-0.5"/>
    <n v="2"/>
    <s v="Bobinette Hindsberg"/>
    <s v="bhindsberg3n@blogs.com"/>
    <x v="0"/>
    <s v="Charlotte"/>
    <x v="4"/>
    <x v="3"/>
    <x v="4"/>
    <x v="40"/>
    <x v="45"/>
    <x v="48"/>
  </r>
  <r>
    <s v="VTV-03546-175"/>
    <x v="117"/>
    <s v="03384-62101-IY"/>
    <s v="A-L-2.5"/>
    <n v="5"/>
    <s v="Osbert Robins"/>
    <s v="orobins3o@salon.com"/>
    <x v="0"/>
    <s v="Huntsville"/>
    <x v="4"/>
    <x v="3"/>
    <x v="4"/>
    <x v="40"/>
    <x v="45"/>
    <x v="48"/>
  </r>
  <r>
    <s v="GHR-72274-715"/>
    <x v="118"/>
    <s v="86881-41559-OR"/>
    <s v="L-D-1"/>
    <n v="1"/>
    <s v="Othello Syseland"/>
    <s v="osyseland3p@independent.co.uk"/>
    <x v="0"/>
    <s v="Santa Ana"/>
    <x v="4"/>
    <x v="3"/>
    <x v="4"/>
    <x v="40"/>
    <x v="45"/>
    <x v="48"/>
  </r>
  <r>
    <s v="ZGK-97262-313"/>
    <x v="119"/>
    <s v="02536-18494-AQ"/>
    <s v="E-M-2.5"/>
    <n v="3"/>
    <s v="Ewell Hanby"/>
    <n v="0"/>
    <x v="0"/>
    <s v="Washington"/>
    <x v="4"/>
    <x v="3"/>
    <x v="4"/>
    <x v="40"/>
    <x v="45"/>
    <x v="48"/>
  </r>
  <r>
    <s v="ZFS-30776-804"/>
    <x v="120"/>
    <s v="58638-01029-CB"/>
    <s v="A-L-0.5"/>
    <n v="5"/>
    <s v="Chalmers Havenhand"/>
    <s v="chavenhand3r@1688.com"/>
    <x v="1"/>
    <s v="Macroom"/>
    <x v="4"/>
    <x v="3"/>
    <x v="4"/>
    <x v="40"/>
    <x v="45"/>
    <x v="48"/>
  </r>
  <r>
    <s v="QUU-91729-492"/>
    <x v="121"/>
    <s v="90312-11148-LA"/>
    <s v="A-D-0.2"/>
    <n v="4"/>
    <s v="Lowell Keenleyside"/>
    <s v="lkeenleyside3s@topsy.com"/>
    <x v="0"/>
    <s v="Saint Louis"/>
    <x v="4"/>
    <x v="3"/>
    <x v="4"/>
    <x v="40"/>
    <x v="45"/>
    <x v="48"/>
  </r>
  <r>
    <s v="PVI-72795-960"/>
    <x v="122"/>
    <s v="68239-74809-TF"/>
    <s v="E-L-2.5"/>
    <n v="3"/>
    <s v="Elonore Joliffe"/>
    <n v="0"/>
    <x v="1"/>
    <s v="Bailieborough"/>
    <x v="4"/>
    <x v="3"/>
    <x v="4"/>
    <x v="40"/>
    <x v="45"/>
    <x v="48"/>
  </r>
  <r>
    <s v="PPP-78935-365"/>
    <x v="123"/>
    <s v="91074-60023-IP"/>
    <s v="E-D-1"/>
    <n v="4"/>
    <s v="Abraham Coleman"/>
    <n v="0"/>
    <x v="0"/>
    <s v="Honolulu"/>
    <x v="4"/>
    <x v="3"/>
    <x v="4"/>
    <x v="40"/>
    <x v="45"/>
    <x v="48"/>
  </r>
  <r>
    <s v="JUO-34131-517"/>
    <x v="124"/>
    <s v="07972-83748-JI"/>
    <s v="L-D-1"/>
    <n v="6"/>
    <s v="Rivy Farington"/>
    <n v="0"/>
    <x v="0"/>
    <s v="Corona"/>
    <x v="4"/>
    <x v="3"/>
    <x v="4"/>
    <x v="40"/>
    <x v="45"/>
    <x v="48"/>
  </r>
  <r>
    <s v="ZJE-89333-489"/>
    <x v="125"/>
    <s v="08694-57330-XR"/>
    <s v="L-D-2.5"/>
    <n v="1"/>
    <s v="Vallie Kundt"/>
    <s v="vkundt3w@bigcartel.com"/>
    <x v="1"/>
    <s v="Ballivor"/>
    <x v="4"/>
    <x v="3"/>
    <x v="4"/>
    <x v="40"/>
    <x v="45"/>
    <x v="48"/>
  </r>
  <r>
    <s v="LOO-35324-159"/>
    <x v="126"/>
    <s v="68412-11126-YJ"/>
    <s v="A-L-0.2"/>
    <n v="4"/>
    <s v="Boyd Bett"/>
    <s v="bbett3x@google.de"/>
    <x v="0"/>
    <s v="Washington"/>
    <x v="4"/>
    <x v="3"/>
    <x v="4"/>
    <x v="40"/>
    <x v="45"/>
    <x v="48"/>
  </r>
  <r>
    <s v="JBQ-93412-846"/>
    <x v="127"/>
    <s v="69037-66822-DW"/>
    <s v="E-L-2.5"/>
    <n v="4"/>
    <s v="Julio Armytage"/>
    <n v="0"/>
    <x v="1"/>
    <s v="Portumna"/>
    <x v="4"/>
    <x v="3"/>
    <x v="4"/>
    <x v="40"/>
    <x v="45"/>
    <x v="48"/>
  </r>
  <r>
    <s v="EHX-66333-637"/>
    <x v="128"/>
    <s v="01297-94364-XH"/>
    <s v="L-M-0.5"/>
    <n v="2"/>
    <s v="Deana Staite"/>
    <s v="dstaite3z@scientificamerican.com"/>
    <x v="0"/>
    <s v="Houston"/>
    <x v="4"/>
    <x v="3"/>
    <x v="4"/>
    <x v="40"/>
    <x v="45"/>
    <x v="48"/>
  </r>
  <r>
    <s v="WXG-25759-236"/>
    <x v="103"/>
    <s v="39919-06540-ZI"/>
    <s v="E-L-2.5"/>
    <n v="2"/>
    <s v="Winn Keyse"/>
    <s v="wkeyse40@apple.com"/>
    <x v="0"/>
    <s v="Orange"/>
    <x v="4"/>
    <x v="3"/>
    <x v="4"/>
    <x v="40"/>
    <x v="45"/>
    <x v="48"/>
  </r>
  <r>
    <s v="QNA-31113-984"/>
    <x v="129"/>
    <s v="60512-78550-WS"/>
    <s v="L-M-0.2"/>
    <n v="4"/>
    <s v="Osmund Clausen-Thue"/>
    <s v="oclausenthue41@marriott.com"/>
    <x v="0"/>
    <s v="El Paso"/>
    <x v="4"/>
    <x v="3"/>
    <x v="4"/>
    <x v="40"/>
    <x v="45"/>
    <x v="48"/>
  </r>
  <r>
    <s v="ZWI-52029-159"/>
    <x v="130"/>
    <s v="40172-12000-AU"/>
    <s v="L-M-1"/>
    <n v="3"/>
    <s v="Leonore Francisco"/>
    <s v="lfrancisco42@fema.gov"/>
    <x v="0"/>
    <s v="Carson City"/>
    <x v="4"/>
    <x v="3"/>
    <x v="4"/>
    <x v="40"/>
    <x v="45"/>
    <x v="48"/>
  </r>
  <r>
    <s v="ZWI-52029-159"/>
    <x v="130"/>
    <s v="40172-12000-AU"/>
    <s v="E-M-1"/>
    <n v="2"/>
    <s v="Adey Lowseley"/>
    <s v="alowseley43@timesonline.co.uk"/>
    <x v="0"/>
    <s v="Fort Worth"/>
    <x v="4"/>
    <x v="3"/>
    <x v="4"/>
    <x v="40"/>
    <x v="45"/>
    <x v="48"/>
  </r>
  <r>
    <s v="DFS-49954-707"/>
    <x v="131"/>
    <s v="39019-13649-CL"/>
    <s v="E-D-0.2"/>
    <n v="5"/>
    <s v="Giacobo Skingle"/>
    <s v="gskingle44@clickbank.net"/>
    <x v="0"/>
    <s v="Provo"/>
    <x v="4"/>
    <x v="3"/>
    <x v="4"/>
    <x v="40"/>
    <x v="45"/>
    <x v="48"/>
  </r>
  <r>
    <s v="VYP-89830-878"/>
    <x v="132"/>
    <s v="12715-05198-QU"/>
    <s v="A-M-2.5"/>
    <n v="2"/>
    <s v="Gerard Pirdy"/>
    <n v="0"/>
    <x v="0"/>
    <s v="Boca Raton"/>
    <x v="4"/>
    <x v="3"/>
    <x v="4"/>
    <x v="40"/>
    <x v="45"/>
    <x v="48"/>
  </r>
  <r>
    <s v="AMT-40418-362"/>
    <x v="133"/>
    <s v="04513-76520-QO"/>
    <s v="L-D-1"/>
    <n v="1"/>
    <s v="Jacinthe Balsillie"/>
    <s v="jbalsillie46@princeton.edu"/>
    <x v="0"/>
    <s v="Roanoke"/>
    <x v="4"/>
    <x v="3"/>
    <x v="4"/>
    <x v="40"/>
    <x v="45"/>
    <x v="48"/>
  </r>
  <r>
    <s v="NFQ-23241-793"/>
    <x v="134"/>
    <s v="88446-59251-SQ"/>
    <s v="A-M-1"/>
    <n v="3"/>
    <s v="Quinton Fouracres"/>
    <n v="0"/>
    <x v="0"/>
    <s v="Des Moines"/>
    <x v="4"/>
    <x v="3"/>
    <x v="4"/>
    <x v="40"/>
    <x v="45"/>
    <x v="48"/>
  </r>
  <r>
    <s v="JQK-64922-985"/>
    <x v="113"/>
    <s v="23779-10274-KN"/>
    <s v="R-M-2.5"/>
    <n v="3"/>
    <s v="Bettina Leffek"/>
    <s v="bleffek48@ning.com"/>
    <x v="0"/>
    <s v="Honolulu"/>
    <x v="4"/>
    <x v="3"/>
    <x v="4"/>
    <x v="40"/>
    <x v="45"/>
    <x v="48"/>
  </r>
  <r>
    <s v="YET-17732-678"/>
    <x v="135"/>
    <s v="57235-92842-DK"/>
    <s v="R-D-0.2"/>
    <n v="1"/>
    <s v="Hetti Penson"/>
    <n v="0"/>
    <x v="0"/>
    <s v="Fort Lauderdale"/>
    <x v="4"/>
    <x v="3"/>
    <x v="4"/>
    <x v="40"/>
    <x v="45"/>
    <x v="48"/>
  </r>
  <r>
    <s v="NKW-24945-846"/>
    <x v="35"/>
    <s v="75977-30364-AY"/>
    <s v="A-D-2.5"/>
    <n v="5"/>
    <s v="Jocko Pray"/>
    <s v="jpray4a@youtube.com"/>
    <x v="0"/>
    <s v="Philadelphia"/>
    <x v="4"/>
    <x v="3"/>
    <x v="4"/>
    <x v="40"/>
    <x v="45"/>
    <x v="48"/>
  </r>
  <r>
    <s v="VKA-82720-513"/>
    <x v="136"/>
    <s v="12299-30914-NG"/>
    <s v="A-M-2.5"/>
    <n v="6"/>
    <s v="Grete Holborn"/>
    <s v="gholborn4b@ow.ly"/>
    <x v="0"/>
    <s v="Norwalk"/>
    <x v="4"/>
    <x v="3"/>
    <x v="4"/>
    <x v="40"/>
    <x v="45"/>
    <x v="48"/>
  </r>
  <r>
    <s v="THA-60599-417"/>
    <x v="137"/>
    <s v="59971-35626-YJ"/>
    <s v="A-M-2.5"/>
    <n v="3"/>
    <s v="Fielding Keinrat"/>
    <s v="fkeinrat4c@dailymail.co.uk"/>
    <x v="0"/>
    <s v="Arlington"/>
    <x v="4"/>
    <x v="3"/>
    <x v="4"/>
    <x v="40"/>
    <x v="45"/>
    <x v="48"/>
  </r>
  <r>
    <s v="MEK-39769-035"/>
    <x v="138"/>
    <s v="15380-76513-PS"/>
    <s v="R-D-2.5"/>
    <n v="3"/>
    <s v="Paulo Yea"/>
    <s v="pyea4d@aol.com"/>
    <x v="1"/>
    <s v="Ashford"/>
    <x v="4"/>
    <x v="3"/>
    <x v="4"/>
    <x v="40"/>
    <x v="45"/>
    <x v="48"/>
  </r>
  <r>
    <s v="JAF-18294-750"/>
    <x v="139"/>
    <s v="73564-98204-EY"/>
    <s v="R-D-2.5"/>
    <n v="6"/>
    <s v="Say Risborough"/>
    <n v="0"/>
    <x v="0"/>
    <s v="Chattanooga"/>
    <x v="4"/>
    <x v="3"/>
    <x v="4"/>
    <x v="40"/>
    <x v="45"/>
    <x v="48"/>
  </r>
  <r>
    <s v="TME-59627-221"/>
    <x v="140"/>
    <s v="72282-40594-RX"/>
    <s v="L-L-2.5"/>
    <n v="6"/>
    <s v="Alexa Sizey"/>
    <n v="0"/>
    <x v="0"/>
    <s v="Portland"/>
    <x v="4"/>
    <x v="3"/>
    <x v="4"/>
    <x v="40"/>
    <x v="45"/>
    <x v="48"/>
  </r>
  <r>
    <s v="UDG-65353-824"/>
    <x v="141"/>
    <s v="17514-94165-RJ"/>
    <s v="E-M-0.5"/>
    <n v="4"/>
    <s v="Kari Swede"/>
    <s v="kswede4g@addthis.com"/>
    <x v="0"/>
    <s v="Oklahoma City"/>
    <x v="4"/>
    <x v="3"/>
    <x v="4"/>
    <x v="40"/>
    <x v="45"/>
    <x v="48"/>
  </r>
  <r>
    <s v="ENQ-42923-176"/>
    <x v="142"/>
    <s v="56248-75861-JX"/>
    <s v="A-L-0.5"/>
    <n v="3"/>
    <s v="Leontine Rubrow"/>
    <s v="lrubrow4h@microsoft.com"/>
    <x v="0"/>
    <s v="Washington"/>
    <x v="4"/>
    <x v="3"/>
    <x v="4"/>
    <x v="40"/>
    <x v="45"/>
    <x v="48"/>
  </r>
  <r>
    <s v="CBT-55781-720"/>
    <x v="143"/>
    <s v="97855-54761-IS"/>
    <s v="E-D-0.5"/>
    <n v="3"/>
    <s v="Dottie Tift"/>
    <s v="dtift4i@netvibes.com"/>
    <x v="0"/>
    <s v="Greensboro"/>
    <x v="4"/>
    <x v="3"/>
    <x v="4"/>
    <x v="40"/>
    <x v="45"/>
    <x v="48"/>
  </r>
  <r>
    <s v="NEU-86533-016"/>
    <x v="144"/>
    <s v="96544-91644-IT"/>
    <s v="R-D-0.2"/>
    <n v="6"/>
    <s v="Gerardo Schonfeld"/>
    <s v="gschonfeld4j@oracle.com"/>
    <x v="0"/>
    <s v="Alexandria"/>
    <x v="4"/>
    <x v="3"/>
    <x v="4"/>
    <x v="40"/>
    <x v="45"/>
    <x v="48"/>
  </r>
  <r>
    <s v="BYU-58154-603"/>
    <x v="145"/>
    <s v="51971-70393-QM"/>
    <s v="E-D-0.5"/>
    <n v="4"/>
    <s v="Claiborne Feye"/>
    <s v="cfeye4k@google.co.jp"/>
    <x v="1"/>
    <s v="Castlebridge"/>
    <x v="4"/>
    <x v="3"/>
    <x v="4"/>
    <x v="40"/>
    <x v="45"/>
    <x v="48"/>
  </r>
  <r>
    <s v="EHJ-05910-257"/>
    <x v="146"/>
    <s v="06812-11924-IK"/>
    <s v="R-D-1"/>
    <n v="6"/>
    <s v="Mina Elstone"/>
    <n v="0"/>
    <x v="0"/>
    <s v="Racine"/>
    <x v="4"/>
    <x v="3"/>
    <x v="4"/>
    <x v="40"/>
    <x v="45"/>
    <x v="48"/>
  </r>
  <r>
    <s v="EIL-44855-309"/>
    <x v="147"/>
    <s v="59741-90220-OW"/>
    <s v="R-D-0.5"/>
    <n v="5"/>
    <s v="Sherman Mewrcik"/>
    <n v="0"/>
    <x v="0"/>
    <s v="Clearwater"/>
    <x v="4"/>
    <x v="3"/>
    <x v="4"/>
    <x v="40"/>
    <x v="45"/>
    <x v="48"/>
  </r>
  <r>
    <s v="HCA-87224-420"/>
    <x v="148"/>
    <s v="62682-27930-PD"/>
    <s v="E-M-0.5"/>
    <n v="5"/>
    <s v="Tamarah Fero"/>
    <s v="tfero4n@comsenz.com"/>
    <x v="0"/>
    <s v="Racine"/>
    <x v="4"/>
    <x v="3"/>
    <x v="4"/>
    <x v="40"/>
    <x v="45"/>
    <x v="48"/>
  </r>
  <r>
    <s v="ABO-29054-365"/>
    <x v="149"/>
    <s v="00256-19905-YG"/>
    <s v="A-M-0.5"/>
    <n v="6"/>
    <s v="Stanislaus Valsler"/>
    <n v="0"/>
    <x v="1"/>
    <s v="Castlebridge"/>
    <x v="4"/>
    <x v="3"/>
    <x v="4"/>
    <x v="40"/>
    <x v="45"/>
    <x v="48"/>
  </r>
  <r>
    <s v="TKN-58485-031"/>
    <x v="150"/>
    <s v="38890-22576-UI"/>
    <s v="R-D-1"/>
    <n v="2"/>
    <s v="Felita Dauney"/>
    <s v="fdauney4p@sphinn.com"/>
    <x v="1"/>
    <s v="Castlebellingham"/>
    <x v="4"/>
    <x v="3"/>
    <x v="4"/>
    <x v="40"/>
    <x v="45"/>
    <x v="48"/>
  </r>
  <r>
    <s v="RCK-04069-371"/>
    <x v="151"/>
    <s v="94573-61802-PH"/>
    <s v="E-L-2.5"/>
    <n v="2"/>
    <s v="Serena Earley"/>
    <s v="searley4q@youku.com"/>
    <x v="2"/>
    <s v="Craigavon"/>
    <x v="4"/>
    <x v="3"/>
    <x v="4"/>
    <x v="40"/>
    <x v="45"/>
    <x v="48"/>
  </r>
  <r>
    <s v="IRJ-67095-738"/>
    <x v="13"/>
    <s v="86447-02699-UT"/>
    <s v="E-M-2.5"/>
    <n v="2"/>
    <s v="Minny Chamberlayne"/>
    <s v="mchamberlayne4r@bigcartel.com"/>
    <x v="0"/>
    <s v="Tampa"/>
    <x v="4"/>
    <x v="3"/>
    <x v="4"/>
    <x v="40"/>
    <x v="45"/>
    <x v="48"/>
  </r>
  <r>
    <s v="VEA-31961-977"/>
    <x v="79"/>
    <s v="51432-27169-KN"/>
    <s v="E-D-0.5"/>
    <n v="3"/>
    <s v="Bartholemy Flaherty"/>
    <s v="bflaherty4s@moonfruit.com"/>
    <x v="1"/>
    <s v="Eadestown"/>
    <x v="4"/>
    <x v="3"/>
    <x v="4"/>
    <x v="40"/>
    <x v="45"/>
    <x v="48"/>
  </r>
  <r>
    <s v="BAF-42286-205"/>
    <x v="152"/>
    <s v="43074-00987-PB"/>
    <s v="R-M-2.5"/>
    <n v="4"/>
    <s v="Oran Colbeck"/>
    <s v="ocolbeck4t@sina.com.cn"/>
    <x v="0"/>
    <s v="Montgomery"/>
    <x v="4"/>
    <x v="3"/>
    <x v="4"/>
    <x v="40"/>
    <x v="45"/>
    <x v="48"/>
  </r>
  <r>
    <s v="WOR-52762-511"/>
    <x v="153"/>
    <s v="04739-85772-QT"/>
    <s v="E-L-2.5"/>
    <n v="6"/>
    <s v="Elysee Sketch"/>
    <n v="0"/>
    <x v="0"/>
    <s v="Sparks"/>
    <x v="4"/>
    <x v="3"/>
    <x v="4"/>
    <x v="40"/>
    <x v="45"/>
    <x v="48"/>
  </r>
  <r>
    <s v="ZWK-03995-815"/>
    <x v="154"/>
    <s v="28279-78469-YW"/>
    <s v="E-M-2.5"/>
    <n v="2"/>
    <s v="Ethelda Hobbing"/>
    <s v="ehobbing4v@nsw.gov.au"/>
    <x v="0"/>
    <s v="Macon"/>
    <x v="4"/>
    <x v="3"/>
    <x v="4"/>
    <x v="40"/>
    <x v="45"/>
    <x v="48"/>
  </r>
  <r>
    <s v="CKF-43291-846"/>
    <x v="155"/>
    <s v="91829-99544-DS"/>
    <s v="E-L-2.5"/>
    <n v="1"/>
    <s v="Odille Thynne"/>
    <s v="othynne4w@auda.org.au"/>
    <x v="0"/>
    <s v="Whittier"/>
    <x v="4"/>
    <x v="3"/>
    <x v="4"/>
    <x v="40"/>
    <x v="45"/>
    <x v="48"/>
  </r>
  <r>
    <s v="RMW-74160-339"/>
    <x v="156"/>
    <s v="38978-59582-JP"/>
    <s v="R-L-2.5"/>
    <n v="4"/>
    <s v="Emlynne Heining"/>
    <s v="eheining4x@flickr.com"/>
    <x v="0"/>
    <s v="Johnson City"/>
    <x v="4"/>
    <x v="3"/>
    <x v="4"/>
    <x v="40"/>
    <x v="45"/>
    <x v="48"/>
  </r>
  <r>
    <s v="FMT-94584-786"/>
    <x v="22"/>
    <s v="86504-96610-BH"/>
    <s v="A-L-1"/>
    <n v="2"/>
    <s v="Katerina Melloi"/>
    <s v="kmelloi4y@imdb.com"/>
    <x v="0"/>
    <s v="Rochester"/>
    <x v="4"/>
    <x v="3"/>
    <x v="4"/>
    <x v="40"/>
    <x v="45"/>
    <x v="48"/>
  </r>
  <r>
    <s v="NWT-78222-575"/>
    <x v="157"/>
    <s v="75986-98864-EZ"/>
    <s v="A-D-0.2"/>
    <n v="1"/>
    <s v="Tiffany Scardafield"/>
    <n v="0"/>
    <x v="1"/>
    <s v="Portarlington"/>
    <x v="4"/>
    <x v="3"/>
    <x v="4"/>
    <x v="40"/>
    <x v="45"/>
    <x v="48"/>
  </r>
  <r>
    <s v="EOI-02511-919"/>
    <x v="158"/>
    <s v="66776-88682-RG"/>
    <s v="E-L-0.2"/>
    <n v="5"/>
    <s v="Abrahan Mussen"/>
    <s v="amussen50@51.la"/>
    <x v="0"/>
    <s v="Brooklyn"/>
    <x v="4"/>
    <x v="3"/>
    <x v="4"/>
    <x v="40"/>
    <x v="45"/>
    <x v="48"/>
  </r>
  <r>
    <s v="EOI-02511-919"/>
    <x v="158"/>
    <s v="66776-88682-RG"/>
    <s v="A-D-0.5"/>
    <n v="5"/>
    <s v="Essie Nellies"/>
    <s v="enellies51@goodreads.com"/>
    <x v="0"/>
    <s v="Springfield"/>
    <x v="4"/>
    <x v="3"/>
    <x v="4"/>
    <x v="40"/>
    <x v="45"/>
    <x v="48"/>
  </r>
  <r>
    <s v="UCT-03935-589"/>
    <x v="78"/>
    <s v="85851-78384-DM"/>
    <s v="R-D-0.5"/>
    <n v="6"/>
    <s v="Anny Mundford"/>
    <s v="amundford52@nbcnews.com"/>
    <x v="0"/>
    <s v="Charlottesville"/>
    <x v="4"/>
    <x v="3"/>
    <x v="4"/>
    <x v="40"/>
    <x v="45"/>
    <x v="48"/>
  </r>
  <r>
    <s v="SBI-60013-494"/>
    <x v="159"/>
    <s v="55232-81621-BX"/>
    <s v="E-M-0.2"/>
    <n v="2"/>
    <s v="Tory Walas"/>
    <s v="twalas53@google.ca"/>
    <x v="0"/>
    <s v="Garland"/>
    <x v="4"/>
    <x v="3"/>
    <x v="4"/>
    <x v="40"/>
    <x v="45"/>
    <x v="48"/>
  </r>
  <r>
    <s v="QRA-73277-814"/>
    <x v="160"/>
    <s v="80310-92912-JA"/>
    <s v="A-L-0.5"/>
    <n v="4"/>
    <s v="Isa Blazewicz"/>
    <s v="iblazewicz54@thetimes.co.uk"/>
    <x v="0"/>
    <s v="Minneapolis"/>
    <x v="4"/>
    <x v="3"/>
    <x v="4"/>
    <x v="40"/>
    <x v="45"/>
    <x v="48"/>
  </r>
  <r>
    <s v="EQE-31648-909"/>
    <x v="161"/>
    <s v="19821-05175-WZ"/>
    <s v="E-D-0.5"/>
    <n v="5"/>
    <s v="Angie Rizzetti"/>
    <s v="arizzetti55@naver.com"/>
    <x v="0"/>
    <s v="Lansing"/>
    <x v="4"/>
    <x v="3"/>
    <x v="4"/>
    <x v="40"/>
    <x v="45"/>
    <x v="48"/>
  </r>
  <r>
    <s v="QOO-24615-950"/>
    <x v="162"/>
    <s v="01338-83217-GV"/>
    <s v="R-M-2.5"/>
    <n v="3"/>
    <s v="Mord Meriet"/>
    <s v="mmeriet56@noaa.gov"/>
    <x v="0"/>
    <s v="Grand Forks"/>
    <x v="4"/>
    <x v="3"/>
    <x v="4"/>
    <x v="40"/>
    <x v="45"/>
    <x v="48"/>
  </r>
  <r>
    <s v="WDV-73864-037"/>
    <x v="70"/>
    <s v="66044-25298-TA"/>
    <s v="L-M-0.5"/>
    <n v="5"/>
    <s v="Lawrence Pratt"/>
    <s v="lpratt57@netvibes.com"/>
    <x v="0"/>
    <s v="Anchorage"/>
    <x v="4"/>
    <x v="3"/>
    <x v="4"/>
    <x v="40"/>
    <x v="45"/>
    <x v="48"/>
  </r>
  <r>
    <s v="PKR-88575-066"/>
    <x v="163"/>
    <s v="28728-47861-TZ"/>
    <s v="E-L-0.2"/>
    <n v="1"/>
    <s v="Astrix Kitchingham"/>
    <s v="akitchingham58@com.com"/>
    <x v="0"/>
    <s v="Oklahoma City"/>
    <x v="4"/>
    <x v="3"/>
    <x v="4"/>
    <x v="40"/>
    <x v="45"/>
    <x v="48"/>
  </r>
  <r>
    <s v="BWR-85735-955"/>
    <x v="153"/>
    <s v="32638-38620-AX"/>
    <s v="L-M-1"/>
    <n v="3"/>
    <s v="Burnard Bartholin"/>
    <s v="bbartholin59@xinhuanet.com"/>
    <x v="0"/>
    <s v="Tulsa"/>
    <x v="4"/>
    <x v="3"/>
    <x v="4"/>
    <x v="40"/>
    <x v="45"/>
    <x v="48"/>
  </r>
  <r>
    <s v="YFX-64795-136"/>
    <x v="164"/>
    <s v="83163-65741-IH"/>
    <s v="L-M-2.5"/>
    <n v="1"/>
    <s v="Madelene Prinn"/>
    <s v="mprinn5a@usa.gov"/>
    <x v="0"/>
    <s v="Detroit"/>
    <x v="4"/>
    <x v="3"/>
    <x v="4"/>
    <x v="40"/>
    <x v="45"/>
    <x v="48"/>
  </r>
  <r>
    <s v="DDO-71442-967"/>
    <x v="165"/>
    <s v="89422-58281-FD"/>
    <s v="L-D-0.2"/>
    <n v="5"/>
    <s v="Alisun Baudino"/>
    <s v="abaudino5b@netvibes.com"/>
    <x v="0"/>
    <s v="Washington"/>
    <x v="4"/>
    <x v="3"/>
    <x v="4"/>
    <x v="40"/>
    <x v="45"/>
    <x v="48"/>
  </r>
  <r>
    <s v="ILQ-11027-588"/>
    <x v="166"/>
    <s v="76293-30918-DQ"/>
    <s v="E-D-1"/>
    <n v="6"/>
    <s v="Philipa Petrushanko"/>
    <s v="ppetrushanko5c@blinklist.com"/>
    <x v="1"/>
    <s v="Nenagh"/>
    <x v="4"/>
    <x v="3"/>
    <x v="4"/>
    <x v="40"/>
    <x v="45"/>
    <x v="48"/>
  </r>
  <r>
    <s v="KRZ-13868-122"/>
    <x v="167"/>
    <s v="86779-84838-EJ"/>
    <s v="E-L-1"/>
    <n v="3"/>
    <s v="Kimberli Mustchin"/>
    <n v="0"/>
    <x v="0"/>
    <s v="Mesa"/>
    <x v="4"/>
    <x v="3"/>
    <x v="4"/>
    <x v="40"/>
    <x v="45"/>
    <x v="48"/>
  </r>
  <r>
    <s v="VRM-93594-914"/>
    <x v="168"/>
    <s v="66806-41795-MX"/>
    <s v="E-D-0.5"/>
    <n v="5"/>
    <s v="Emlynne Laird"/>
    <s v="elaird5e@bing.com"/>
    <x v="0"/>
    <s v="Warren"/>
    <x v="4"/>
    <x v="3"/>
    <x v="4"/>
    <x v="40"/>
    <x v="45"/>
    <x v="48"/>
  </r>
  <r>
    <s v="HXL-22497-359"/>
    <x v="169"/>
    <s v="64875-71224-UI"/>
    <s v="A-L-1"/>
    <n v="3"/>
    <s v="Marlena Howsden"/>
    <s v="mhowsden5f@infoseek.co.jp"/>
    <x v="0"/>
    <s v="Memphis"/>
    <x v="4"/>
    <x v="3"/>
    <x v="4"/>
    <x v="40"/>
    <x v="45"/>
    <x v="48"/>
  </r>
  <r>
    <s v="NOP-21394-646"/>
    <x v="170"/>
    <s v="16982-35708-BZ"/>
    <s v="E-L-0.5"/>
    <n v="6"/>
    <s v="Nealson Cuttler"/>
    <s v="ncuttler5g@parallels.com"/>
    <x v="0"/>
    <s v="Washington"/>
    <x v="4"/>
    <x v="3"/>
    <x v="4"/>
    <x v="40"/>
    <x v="45"/>
    <x v="48"/>
  </r>
  <r>
    <s v="NOP-21394-646"/>
    <x v="170"/>
    <s v="16982-35708-BZ"/>
    <s v="L-D-2.5"/>
    <n v="2"/>
    <s v="Crin Vernham"/>
    <s v="cvernham5h@e-recht24.de"/>
    <x v="1"/>
    <s v="Muff"/>
    <x v="4"/>
    <x v="3"/>
    <x v="4"/>
    <x v="40"/>
    <x v="45"/>
    <x v="48"/>
  </r>
  <r>
    <s v="NOP-21394-646"/>
    <x v="170"/>
    <s v="16982-35708-BZ"/>
    <s v="L-D-2.5"/>
    <n v="3"/>
    <s v="Jenn Munnings"/>
    <s v="jmunnings5i@springer.com"/>
    <x v="0"/>
    <s v="Pompano Beach"/>
    <x v="4"/>
    <x v="3"/>
    <x v="4"/>
    <x v="40"/>
    <x v="45"/>
    <x v="48"/>
  </r>
  <r>
    <s v="NOP-21394-646"/>
    <x v="170"/>
    <s v="16982-35708-BZ"/>
    <s v="L-L-0.5"/>
    <n v="4"/>
    <s v="Olympie Dautry"/>
    <s v="odautry5j@etsy.com"/>
    <x v="0"/>
    <s v="Chicago"/>
    <x v="4"/>
    <x v="3"/>
    <x v="4"/>
    <x v="40"/>
    <x v="45"/>
    <x v="48"/>
  </r>
  <r>
    <s v="NOP-21394-646"/>
    <x v="170"/>
    <s v="16982-35708-BZ"/>
    <s v="E-M-1"/>
    <n v="3"/>
    <s v="Ingaborg Dunwoody"/>
    <s v="idunwoody5k@sourceforge.net"/>
    <x v="2"/>
    <s v="East End"/>
    <x v="4"/>
    <x v="3"/>
    <x v="4"/>
    <x v="40"/>
    <x v="45"/>
    <x v="48"/>
  </r>
  <r>
    <s v="FTV-77095-168"/>
    <x v="171"/>
    <s v="66708-26678-QK"/>
    <s v="L-L-0.5"/>
    <n v="6"/>
    <s v="Adriana Lazarus"/>
    <n v="0"/>
    <x v="0"/>
    <s v="Ogden"/>
    <x v="4"/>
    <x v="3"/>
    <x v="4"/>
    <x v="40"/>
    <x v="45"/>
    <x v="48"/>
  </r>
  <r>
    <s v="BOR-02906-411"/>
    <x v="172"/>
    <s v="08743-09057-OO"/>
    <s v="L-D-2.5"/>
    <n v="6"/>
    <s v="Tallie felip"/>
    <s v="tfelip5m@typepad.com"/>
    <x v="0"/>
    <s v="Albany"/>
    <x v="4"/>
    <x v="3"/>
    <x v="4"/>
    <x v="40"/>
    <x v="45"/>
    <x v="48"/>
  </r>
  <r>
    <s v="WMP-68847-770"/>
    <x v="173"/>
    <s v="37490-01572-JW"/>
    <s v="L-L-0.2"/>
    <n v="1"/>
    <s v="Vanna Le - Count"/>
    <s v="vle5n@disqus.com"/>
    <x v="0"/>
    <s v="Spartanburg"/>
    <x v="4"/>
    <x v="3"/>
    <x v="4"/>
    <x v="40"/>
    <x v="45"/>
    <x v="48"/>
  </r>
  <r>
    <s v="TMO-22785-872"/>
    <x v="174"/>
    <s v="01811-60350-CU"/>
    <s v="E-M-1"/>
    <n v="6"/>
    <s v="Sarette Ducarel"/>
    <n v="0"/>
    <x v="0"/>
    <s v="Staten Island"/>
    <x v="4"/>
    <x v="3"/>
    <x v="4"/>
    <x v="40"/>
    <x v="45"/>
    <x v="48"/>
  </r>
  <r>
    <s v="TJG-73587-353"/>
    <x v="175"/>
    <s v="24766-58139-GT"/>
    <s v="R-D-0.2"/>
    <n v="3"/>
    <s v="Kendra Glison"/>
    <n v="0"/>
    <x v="0"/>
    <s v="Washington"/>
    <x v="4"/>
    <x v="3"/>
    <x v="4"/>
    <x v="40"/>
    <x v="45"/>
    <x v="48"/>
  </r>
  <r>
    <s v="OOU-61343-455"/>
    <x v="176"/>
    <s v="90123-70970-NY"/>
    <s v="A-M-1"/>
    <n v="2"/>
    <s v="Nertie Poolman"/>
    <s v="npoolman5q@howstuffworks.com"/>
    <x v="0"/>
    <s v="Charlotte"/>
    <x v="4"/>
    <x v="3"/>
    <x v="4"/>
    <x v="40"/>
    <x v="45"/>
    <x v="48"/>
  </r>
  <r>
    <s v="RMA-08327-369"/>
    <x v="142"/>
    <s v="93809-05424-MG"/>
    <s v="A-M-0.5"/>
    <n v="6"/>
    <s v="Orbadiah Duny"/>
    <s v="oduny5r@constantcontact.com"/>
    <x v="0"/>
    <s v="Lubbock"/>
    <x v="4"/>
    <x v="3"/>
    <x v="4"/>
    <x v="40"/>
    <x v="45"/>
    <x v="48"/>
  </r>
  <r>
    <s v="SFB-97929-779"/>
    <x v="177"/>
    <s v="85425-33494-HQ"/>
    <s v="E-D-0.5"/>
    <n v="4"/>
    <s v="Constance Halfhide"/>
    <s v="chalfhide5s@google.ru"/>
    <x v="1"/>
    <s v="Fermoy"/>
    <x v="4"/>
    <x v="3"/>
    <x v="4"/>
    <x v="40"/>
    <x v="45"/>
    <x v="48"/>
  </r>
  <r>
    <s v="AUP-10128-606"/>
    <x v="178"/>
    <s v="54387-64897-XC"/>
    <s v="A-M-0.5"/>
    <n v="1"/>
    <s v="Fransisco Malecky"/>
    <s v="fmalecky5t@list-manage.com"/>
    <x v="2"/>
    <s v="Whitwell"/>
    <x v="4"/>
    <x v="3"/>
    <x v="4"/>
    <x v="40"/>
    <x v="45"/>
    <x v="48"/>
  </r>
  <r>
    <s v="YTW-40242-005"/>
    <x v="179"/>
    <s v="01035-70465-UO"/>
    <s v="L-D-1"/>
    <n v="4"/>
    <s v="Anselma Attwater"/>
    <s v="aattwater5u@wikia.com"/>
    <x v="0"/>
    <s v="Charlottesville"/>
    <x v="4"/>
    <x v="3"/>
    <x v="4"/>
    <x v="40"/>
    <x v="45"/>
    <x v="48"/>
  </r>
  <r>
    <s v="PRP-53390-819"/>
    <x v="180"/>
    <s v="84260-39432-ML"/>
    <s v="E-L-0.5"/>
    <n v="6"/>
    <s v="Minette Whellans"/>
    <s v="mwhellans5v@mapquest.com"/>
    <x v="0"/>
    <s v="New York City"/>
    <x v="4"/>
    <x v="3"/>
    <x v="4"/>
    <x v="40"/>
    <x v="45"/>
    <x v="48"/>
  </r>
  <r>
    <s v="GSJ-01065-125"/>
    <x v="181"/>
    <s v="69779-40609-RS"/>
    <s v="E-D-0.2"/>
    <n v="4"/>
    <s v="Dael Camilletti"/>
    <s v="dcamilletti5w@businesswire.com"/>
    <x v="0"/>
    <s v="Roanoke"/>
    <x v="4"/>
    <x v="3"/>
    <x v="4"/>
    <x v="40"/>
    <x v="45"/>
    <x v="48"/>
  </r>
  <r>
    <s v="YQU-65147-580"/>
    <x v="182"/>
    <s v="80247-70000-HT"/>
    <s v="R-D-2.5"/>
    <n v="1"/>
    <s v="Emiline Galgey"/>
    <s v="egalgey5x@wufoo.com"/>
    <x v="0"/>
    <s v="New York City"/>
    <x v="4"/>
    <x v="3"/>
    <x v="4"/>
    <x v="40"/>
    <x v="45"/>
    <x v="48"/>
  </r>
  <r>
    <s v="QPM-95832-683"/>
    <x v="183"/>
    <s v="35058-04550-VC"/>
    <s v="L-L-1"/>
    <n v="2"/>
    <s v="Murdock Hame"/>
    <s v="mhame5y@newsvine.com"/>
    <x v="1"/>
    <s v="Balally"/>
    <x v="4"/>
    <x v="3"/>
    <x v="4"/>
    <x v="40"/>
    <x v="45"/>
    <x v="48"/>
  </r>
  <r>
    <s v="BNQ-88920-567"/>
    <x v="184"/>
    <s v="27226-53717-SY"/>
    <s v="L-D-0.2"/>
    <n v="6"/>
    <s v="Ilka Gurnee"/>
    <s v="igurnee5z@usnews.com"/>
    <x v="0"/>
    <s v="Salt Lake City"/>
    <x v="4"/>
    <x v="3"/>
    <x v="4"/>
    <x v="40"/>
    <x v="45"/>
    <x v="48"/>
  </r>
  <r>
    <s v="PUX-47906-110"/>
    <x v="185"/>
    <s v="02002-98725-CH"/>
    <s v="L-M-1"/>
    <n v="4"/>
    <s v="Alfy Snowding"/>
    <s v="asnowding60@comsenz.com"/>
    <x v="0"/>
    <s v="Toledo"/>
    <x v="4"/>
    <x v="3"/>
    <x v="4"/>
    <x v="40"/>
    <x v="45"/>
    <x v="48"/>
  </r>
  <r>
    <s v="COL-72079-610"/>
    <x v="186"/>
    <s v="38487-01549-MV"/>
    <s v="E-L-0.5"/>
    <n v="4"/>
    <s v="Godfry Poinsett"/>
    <s v="gpoinsett61@berkeley.edu"/>
    <x v="0"/>
    <s v="Pasadena"/>
    <x v="4"/>
    <x v="3"/>
    <x v="4"/>
    <x v="40"/>
    <x v="45"/>
    <x v="48"/>
  </r>
  <r>
    <s v="LBC-45686-819"/>
    <x v="187"/>
    <s v="98573-41811-EQ"/>
    <s v="A-M-1"/>
    <n v="5"/>
    <s v="Rem Furman"/>
    <s v="rfurman62@t.co"/>
    <x v="1"/>
    <s v="Kinsale"/>
    <x v="4"/>
    <x v="3"/>
    <x v="4"/>
    <x v="40"/>
    <x v="45"/>
    <x v="48"/>
  </r>
  <r>
    <s v="BLQ-03709-265"/>
    <x v="148"/>
    <s v="72463-75685-MV"/>
    <s v="R-L-0.2"/>
    <n v="3"/>
    <s v="Charis Crosier"/>
    <s v="ccrosier63@xrea.com"/>
    <x v="0"/>
    <s v="Lees Summit"/>
    <x v="4"/>
    <x v="3"/>
    <x v="4"/>
    <x v="40"/>
    <x v="45"/>
    <x v="48"/>
  </r>
  <r>
    <s v="BLQ-03709-265"/>
    <x v="148"/>
    <s v="72463-75685-MV"/>
    <s v="R-M-0.2"/>
    <n v="5"/>
    <s v="Monte Percifull"/>
    <s v="mpercifull64@netlog.com"/>
    <x v="0"/>
    <s v="Fort Worth"/>
    <x v="4"/>
    <x v="3"/>
    <x v="4"/>
    <x v="40"/>
    <x v="45"/>
    <x v="48"/>
  </r>
  <r>
    <s v="VFZ-91673-181"/>
    <x v="188"/>
    <s v="10225-91535-AI"/>
    <s v="A-L-1"/>
    <n v="6"/>
    <s v="Lenka Rushmer"/>
    <s v="lrushmer65@europa.eu"/>
    <x v="0"/>
    <s v="Irvine"/>
    <x v="4"/>
    <x v="3"/>
    <x v="4"/>
    <x v="40"/>
    <x v="45"/>
    <x v="48"/>
  </r>
  <r>
    <s v="WKD-81956-870"/>
    <x v="189"/>
    <s v="48090-06534-HI"/>
    <s v="L-D-0.5"/>
    <n v="3"/>
    <s v="Waneta Edinborough"/>
    <s v="wedinborough66@github.io"/>
    <x v="0"/>
    <s v="Hicksville"/>
    <x v="4"/>
    <x v="3"/>
    <x v="4"/>
    <x v="40"/>
    <x v="45"/>
    <x v="48"/>
  </r>
  <r>
    <s v="TNI-91067-006"/>
    <x v="190"/>
    <s v="80444-58185-FX"/>
    <s v="E-L-1"/>
    <n v="4"/>
    <s v="Bobbe Piggott"/>
    <n v="0"/>
    <x v="0"/>
    <s v="Washington"/>
    <x v="4"/>
    <x v="3"/>
    <x v="4"/>
    <x v="40"/>
    <x v="45"/>
    <x v="48"/>
  </r>
  <r>
    <s v="IZA-61469-812"/>
    <x v="191"/>
    <s v="13561-92774-WP"/>
    <s v="L-D-2.5"/>
    <n v="4"/>
    <s v="Ketty Bromehead"/>
    <s v="kbromehead68@un.org"/>
    <x v="0"/>
    <s v="New York City"/>
    <x v="4"/>
    <x v="3"/>
    <x v="4"/>
    <x v="40"/>
    <x v="45"/>
    <x v="48"/>
  </r>
  <r>
    <s v="PSS-22466-862"/>
    <x v="192"/>
    <s v="11550-78378-GE"/>
    <s v="R-L-0.2"/>
    <n v="4"/>
    <s v="Elsbeth Westerman"/>
    <s v="ewesterman69@si.edu"/>
    <x v="1"/>
    <s v="Newmarket on Fergus"/>
    <x v="4"/>
    <x v="3"/>
    <x v="4"/>
    <x v="40"/>
    <x v="45"/>
    <x v="48"/>
  </r>
  <r>
    <s v="REH-56504-397"/>
    <x v="193"/>
    <s v="90961-35603-RP"/>
    <s v="A-M-2.5"/>
    <n v="5"/>
    <s v="Anabelle Hutchens"/>
    <s v="ahutchens6a@amazonaws.com"/>
    <x v="0"/>
    <s v="Shawnee Mission"/>
    <x v="4"/>
    <x v="3"/>
    <x v="4"/>
    <x v="40"/>
    <x v="45"/>
    <x v="48"/>
  </r>
  <r>
    <s v="ALA-62598-016"/>
    <x v="194"/>
    <s v="57145-03803-ZL"/>
    <s v="R-D-0.2"/>
    <n v="6"/>
    <s v="Noak Wyvill"/>
    <s v="nwyvill6b@naver.com"/>
    <x v="2"/>
    <s v="Edinburgh"/>
    <x v="4"/>
    <x v="3"/>
    <x v="4"/>
    <x v="40"/>
    <x v="45"/>
    <x v="48"/>
  </r>
  <r>
    <s v="EYE-70374-835"/>
    <x v="195"/>
    <s v="89115-11966-VF"/>
    <s v="R-L-0.2"/>
    <n v="5"/>
    <s v="Beltran Mathon"/>
    <s v="bmathon6c@barnesandnoble.com"/>
    <x v="0"/>
    <s v="Sacramento"/>
    <x v="4"/>
    <x v="3"/>
    <x v="4"/>
    <x v="40"/>
    <x v="45"/>
    <x v="48"/>
  </r>
  <r>
    <s v="CCZ-19589-212"/>
    <x v="196"/>
    <s v="05754-41702-FG"/>
    <s v="L-M-0.2"/>
    <n v="2"/>
    <s v="Kristos Streight"/>
    <s v="kstreight6d@about.com"/>
    <x v="0"/>
    <s v="Wilkes Barre"/>
    <x v="4"/>
    <x v="3"/>
    <x v="4"/>
    <x v="40"/>
    <x v="45"/>
    <x v="48"/>
  </r>
  <r>
    <s v="BPT-83989-157"/>
    <x v="197"/>
    <s v="84269-49816-ML"/>
    <s v="A-M-2.5"/>
    <n v="2"/>
    <s v="Portie Cutchie"/>
    <s v="pcutchie6e@globo.com"/>
    <x v="0"/>
    <s v="Greensboro"/>
    <x v="4"/>
    <x v="3"/>
    <x v="4"/>
    <x v="40"/>
    <x v="45"/>
    <x v="48"/>
  </r>
  <r>
    <s v="YFH-87456-208"/>
    <x v="198"/>
    <s v="23600-98432-ME"/>
    <s v="L-M-0.2"/>
    <n v="2"/>
    <s v="Sinclare Edsell"/>
    <n v="0"/>
    <x v="0"/>
    <s v="Newark"/>
    <x v="4"/>
    <x v="3"/>
    <x v="4"/>
    <x v="40"/>
    <x v="45"/>
    <x v="48"/>
  </r>
  <r>
    <s v="JLN-14700-924"/>
    <x v="199"/>
    <s v="79058-02767-CP"/>
    <s v="L-L-0.2"/>
    <n v="5"/>
    <s v="Conny Gheraldi"/>
    <s v="cgheraldi6g@opera.com"/>
    <x v="2"/>
    <s v="Kinloch"/>
    <x v="4"/>
    <x v="3"/>
    <x v="4"/>
    <x v="40"/>
    <x v="45"/>
    <x v="48"/>
  </r>
  <r>
    <s v="JVW-22582-137"/>
    <x v="200"/>
    <s v="89208-74646-UK"/>
    <s v="E-M-0.2"/>
    <n v="5"/>
    <s v="Beryle Kenwell"/>
    <s v="bkenwell6h@over-blog.com"/>
    <x v="0"/>
    <s v="Honolulu"/>
    <x v="4"/>
    <x v="3"/>
    <x v="4"/>
    <x v="40"/>
    <x v="45"/>
    <x v="48"/>
  </r>
  <r>
    <s v="LAA-41879-001"/>
    <x v="201"/>
    <s v="11408-81032-UR"/>
    <s v="L-L-2.5"/>
    <n v="1"/>
    <s v="Tomas Sutty"/>
    <s v="tsutty6i@google.es"/>
    <x v="0"/>
    <s v="New York City"/>
    <x v="4"/>
    <x v="3"/>
    <x v="4"/>
    <x v="40"/>
    <x v="45"/>
    <x v="48"/>
  </r>
  <r>
    <s v="BRV-64870-915"/>
    <x v="202"/>
    <s v="32070-55528-UG"/>
    <s v="L-L-2.5"/>
    <n v="5"/>
    <s v="Samuele Ales0"/>
    <n v="0"/>
    <x v="1"/>
    <s v="Ballinroad"/>
    <x v="4"/>
    <x v="3"/>
    <x v="4"/>
    <x v="40"/>
    <x v="45"/>
    <x v="48"/>
  </r>
  <r>
    <s v="RGJ-12544-083"/>
    <x v="203"/>
    <s v="48873-84433-PN"/>
    <s v="L-D-2.5"/>
    <n v="3"/>
    <s v="Carlie Harce"/>
    <s v="charce6k@cafepress.com"/>
    <x v="1"/>
    <s v="D煤n Laoghaire"/>
    <x v="4"/>
    <x v="3"/>
    <x v="4"/>
    <x v="40"/>
    <x v="45"/>
    <x v="48"/>
  </r>
  <r>
    <s v="JJX-83339-346"/>
    <x v="204"/>
    <s v="32928-18158-OW"/>
    <s v="R-L-0.2"/>
    <n v="1"/>
    <s v="Craggy Bril"/>
    <n v="0"/>
    <x v="0"/>
    <s v="Cincinnati"/>
    <x v="4"/>
    <x v="3"/>
    <x v="4"/>
    <x v="40"/>
    <x v="45"/>
    <x v="48"/>
  </r>
  <r>
    <s v="BIU-21970-705"/>
    <x v="205"/>
    <s v="89711-56688-GG"/>
    <s v="R-M-2.5"/>
    <n v="2"/>
    <s v="Friederike Drysdale"/>
    <s v="fdrysdale6m@symantec.com"/>
    <x v="0"/>
    <s v="Midland"/>
    <x v="4"/>
    <x v="3"/>
    <x v="4"/>
    <x v="40"/>
    <x v="45"/>
    <x v="48"/>
  </r>
  <r>
    <s v="ELJ-87741-745"/>
    <x v="206"/>
    <s v="48389-71976-JB"/>
    <s v="E-L-1"/>
    <n v="4"/>
    <s v="Devon Magowan"/>
    <s v="dmagowan6n@fc2.com"/>
    <x v="0"/>
    <s v="Cheyenne"/>
    <x v="4"/>
    <x v="3"/>
    <x v="4"/>
    <x v="40"/>
    <x v="45"/>
    <x v="48"/>
  </r>
  <r>
    <s v="SGI-48226-857"/>
    <x v="207"/>
    <s v="84033-80762-EQ"/>
    <s v="A-M-2.5"/>
    <n v="6"/>
    <s v="Codi Littrell"/>
    <n v="0"/>
    <x v="0"/>
    <s v="Atlanta"/>
    <x v="4"/>
    <x v="3"/>
    <x v="4"/>
    <x v="40"/>
    <x v="45"/>
    <x v="48"/>
  </r>
  <r>
    <s v="AHV-66988-037"/>
    <x v="208"/>
    <s v="12743-00952-KO"/>
    <s v="R-M-2.5"/>
    <n v="2"/>
    <s v="Christel Speak"/>
    <n v="0"/>
    <x v="0"/>
    <s v="Duluth"/>
    <x v="4"/>
    <x v="3"/>
    <x v="4"/>
    <x v="40"/>
    <x v="45"/>
    <x v="48"/>
  </r>
  <r>
    <s v="ISK-42066-094"/>
    <x v="209"/>
    <s v="41505-42181-EF"/>
    <s v="E-D-1"/>
    <n v="3"/>
    <s v="Sibella Rushbrooke"/>
    <s v="srushbrooke6q@youku.com"/>
    <x v="0"/>
    <s v="Sacramento"/>
    <x v="4"/>
    <x v="3"/>
    <x v="4"/>
    <x v="40"/>
    <x v="45"/>
    <x v="48"/>
  </r>
  <r>
    <s v="FTC-35822-530"/>
    <x v="210"/>
    <s v="14307-87663-KB"/>
    <s v="E-D-0.5"/>
    <n v="4"/>
    <s v="Tammie Drynan"/>
    <s v="tdrynan6r@deviantart.com"/>
    <x v="0"/>
    <s v="Tampa"/>
    <x v="4"/>
    <x v="3"/>
    <x v="4"/>
    <x v="40"/>
    <x v="45"/>
    <x v="48"/>
  </r>
  <r>
    <s v="VSS-56247-688"/>
    <x v="211"/>
    <s v="08360-19442-GB"/>
    <s v="L-M-2.5"/>
    <n v="4"/>
    <s v="Effie Yurkov"/>
    <s v="eyurkov6s@hud.gov"/>
    <x v="0"/>
    <s v="Honolulu"/>
    <x v="4"/>
    <x v="3"/>
    <x v="4"/>
    <x v="40"/>
    <x v="45"/>
    <x v="48"/>
  </r>
  <r>
    <s v="HVW-25584-144"/>
    <x v="212"/>
    <s v="93405-51204-UW"/>
    <s v="L-L-0.2"/>
    <n v="5"/>
    <s v="Lexie Mallan"/>
    <s v="lmallan6t@state.gov"/>
    <x v="0"/>
    <s v="Baton Rouge"/>
    <x v="4"/>
    <x v="3"/>
    <x v="4"/>
    <x v="40"/>
    <x v="45"/>
    <x v="48"/>
  </r>
  <r>
    <s v="MUY-15309-209"/>
    <x v="213"/>
    <s v="97152-03355-IW"/>
    <s v="L-D-1"/>
    <n v="3"/>
    <s v="Georgena Bentjens"/>
    <s v="gbentjens6u@netlog.com"/>
    <x v="2"/>
    <s v="Newbiggin"/>
    <x v="4"/>
    <x v="3"/>
    <x v="4"/>
    <x v="40"/>
    <x v="45"/>
    <x v="48"/>
  </r>
  <r>
    <s v="VAJ-44572-469"/>
    <x v="63"/>
    <s v="79216-73157-TE"/>
    <s v="R-L-0.2"/>
    <n v="6"/>
    <s v="Delmar Beasant"/>
    <n v="0"/>
    <x v="1"/>
    <s v="Kilkenny"/>
    <x v="4"/>
    <x v="3"/>
    <x v="4"/>
    <x v="40"/>
    <x v="45"/>
    <x v="48"/>
  </r>
  <r>
    <s v="YJU-84377-606"/>
    <x v="214"/>
    <s v="20259-47723-AC"/>
    <s v="A-D-1"/>
    <n v="1"/>
    <s v="Lyn Entwistle"/>
    <s v="lentwistle6w@omniture.com"/>
    <x v="0"/>
    <s v="Minneapolis"/>
    <x v="4"/>
    <x v="3"/>
    <x v="4"/>
    <x v="40"/>
    <x v="45"/>
    <x v="48"/>
  </r>
  <r>
    <s v="VNC-93921-469"/>
    <x v="215"/>
    <s v="04666-71569-RI"/>
    <s v="L-L-1"/>
    <n v="1"/>
    <s v="Stuart Lafee"/>
    <n v="0"/>
    <x v="0"/>
    <s v="San Francisco"/>
    <x v="4"/>
    <x v="3"/>
    <x v="4"/>
    <x v="40"/>
    <x v="45"/>
    <x v="48"/>
  </r>
  <r>
    <s v="OGB-91614-810"/>
    <x v="216"/>
    <s v="08909-77713-CG"/>
    <s v="R-M-0.2"/>
    <n v="1"/>
    <s v="Mercedes Acott"/>
    <s v="macott6y@pagesperso-orange.fr"/>
    <x v="0"/>
    <s v="Charlotte"/>
    <x v="4"/>
    <x v="3"/>
    <x v="4"/>
    <x v="40"/>
    <x v="45"/>
    <x v="48"/>
  </r>
  <r>
    <s v="BQI-61647-496"/>
    <x v="217"/>
    <s v="84340-73931-VV"/>
    <s v="E-M-1"/>
    <n v="5"/>
    <s v="Connor Heaviside"/>
    <s v="cheaviside6z@rediff.com"/>
    <x v="0"/>
    <s v="Phoenix"/>
    <x v="4"/>
    <x v="3"/>
    <x v="4"/>
    <x v="40"/>
    <x v="45"/>
    <x v="48"/>
  </r>
  <r>
    <s v="IOM-51636-823"/>
    <x v="218"/>
    <s v="04609-95151-XH"/>
    <s v="A-D-1"/>
    <n v="3"/>
    <s v="Devy Bulbrook"/>
    <n v="0"/>
    <x v="0"/>
    <s v="Jamaica"/>
    <x v="4"/>
    <x v="3"/>
    <x v="4"/>
    <x v="40"/>
    <x v="45"/>
    <x v="48"/>
  </r>
  <r>
    <s v="GGD-38107-641"/>
    <x v="219"/>
    <s v="99562-88650-YF"/>
    <s v="L-M-1"/>
    <n v="4"/>
    <s v="Leia Kernan"/>
    <s v="lkernan71@wsj.com"/>
    <x v="0"/>
    <s v="Champaign"/>
    <x v="4"/>
    <x v="3"/>
    <x v="4"/>
    <x v="40"/>
    <x v="45"/>
    <x v="48"/>
  </r>
  <r>
    <s v="LTO-95975-728"/>
    <x v="220"/>
    <s v="46560-73885-PJ"/>
    <s v="R-L-0.5"/>
    <n v="4"/>
    <s v="Rosaline McLae"/>
    <s v="rmclae72@dailymotion.com"/>
    <x v="2"/>
    <s v="Swindon"/>
    <x v="4"/>
    <x v="3"/>
    <x v="4"/>
    <x v="40"/>
    <x v="45"/>
    <x v="48"/>
  </r>
  <r>
    <s v="IGM-84664-265"/>
    <x v="114"/>
    <s v="80179-44620-WN"/>
    <s v="R-L-0.5"/>
    <n v="3"/>
    <s v="Cleve Blowfelde"/>
    <s v="cblowfelde73@ustream.tv"/>
    <x v="0"/>
    <s v="Tucson"/>
    <x v="4"/>
    <x v="3"/>
    <x v="4"/>
    <x v="40"/>
    <x v="45"/>
    <x v="48"/>
  </r>
  <r>
    <s v="SKO-45740-621"/>
    <x v="221"/>
    <s v="04666-71569-RI"/>
    <s v="L-M-0.5"/>
    <n v="2"/>
    <s v="Zacharias Kiffe"/>
    <s v="zkiffe74@cyberchimps.com"/>
    <x v="0"/>
    <s v="Milwaukee"/>
    <x v="4"/>
    <x v="3"/>
    <x v="4"/>
    <x v="40"/>
    <x v="45"/>
    <x v="48"/>
  </r>
  <r>
    <s v="FOJ-02234-063"/>
    <x v="222"/>
    <s v="59081-87231-VP"/>
    <s v="E-D-2.5"/>
    <n v="1"/>
    <s v="Denyse O'Calleran"/>
    <s v="docalleran75@ucla.edu"/>
    <x v="0"/>
    <s v="Pompano Beach"/>
    <x v="4"/>
    <x v="3"/>
    <x v="4"/>
    <x v="40"/>
    <x v="45"/>
    <x v="48"/>
  </r>
  <r>
    <s v="MSJ-11909-468"/>
    <x v="188"/>
    <s v="07878-45872-CC"/>
    <s v="E-D-2.5"/>
    <n v="5"/>
    <s v="Cobby Cromwell"/>
    <s v="ccromwell76@desdev.cn"/>
    <x v="0"/>
    <s v="Whittier"/>
    <x v="4"/>
    <x v="3"/>
    <x v="4"/>
    <x v="40"/>
    <x v="45"/>
    <x v="48"/>
  </r>
  <r>
    <s v="DKB-78053-329"/>
    <x v="223"/>
    <s v="12444-05174-OO"/>
    <s v="R-M-0.2"/>
    <n v="2"/>
    <s v="Irv Hay"/>
    <s v="ihay77@lulu.com"/>
    <x v="2"/>
    <s v="Sheffield"/>
    <x v="4"/>
    <x v="3"/>
    <x v="4"/>
    <x v="40"/>
    <x v="45"/>
    <x v="48"/>
  </r>
  <r>
    <s v="DFZ-45083-941"/>
    <x v="224"/>
    <s v="34665-62561-AU"/>
    <s v="R-L-2.5"/>
    <n v="1"/>
    <s v="Tani Taffarello"/>
    <s v="ttaffarello78@sciencedaily.com"/>
    <x v="0"/>
    <s v="Saint Louis"/>
    <x v="4"/>
    <x v="3"/>
    <x v="4"/>
    <x v="40"/>
    <x v="45"/>
    <x v="48"/>
  </r>
  <r>
    <s v="OTA-40969-710"/>
    <x v="83"/>
    <s v="77877-11993-QH"/>
    <s v="R-L-1"/>
    <n v="5"/>
    <s v="Monique Canty"/>
    <s v="mcanty79@jigsy.com"/>
    <x v="0"/>
    <s v="Erie"/>
    <x v="4"/>
    <x v="3"/>
    <x v="4"/>
    <x v="40"/>
    <x v="45"/>
    <x v="48"/>
  </r>
  <r>
    <s v="GRH-45571-667"/>
    <x v="104"/>
    <s v="32291-18308-YZ"/>
    <s v="E-M-1"/>
    <n v="3"/>
    <s v="Javier Kopke"/>
    <s v="jkopke7a@auda.org.au"/>
    <x v="0"/>
    <s v="Tacoma"/>
    <x v="4"/>
    <x v="3"/>
    <x v="4"/>
    <x v="40"/>
    <x v="45"/>
    <x v="48"/>
  </r>
  <r>
    <s v="NXV-05302-067"/>
    <x v="225"/>
    <s v="25754-33191-ZI"/>
    <s v="L-M-2.5"/>
    <n v="4"/>
    <s v="Mar McIver"/>
    <n v="0"/>
    <x v="0"/>
    <s v="Richmond"/>
    <x v="4"/>
    <x v="3"/>
    <x v="4"/>
    <x v="40"/>
    <x v="45"/>
    <x v="48"/>
  </r>
  <r>
    <s v="VZH-86274-142"/>
    <x v="226"/>
    <s v="53120-45532-KL"/>
    <s v="R-L-1"/>
    <n v="5"/>
    <s v="Arabella Fransewich"/>
    <n v="0"/>
    <x v="1"/>
    <s v="Kinsealy-Drinan"/>
    <x v="4"/>
    <x v="3"/>
    <x v="4"/>
    <x v="40"/>
    <x v="45"/>
    <x v="48"/>
  </r>
  <r>
    <s v="KIX-93248-135"/>
    <x v="227"/>
    <s v="36605-83052-WB"/>
    <s v="A-D-0.5"/>
    <n v="1"/>
    <s v="Violette Hellmore"/>
    <s v="vhellmore7d@bbc.co.uk"/>
    <x v="0"/>
    <s v="Little Rock"/>
    <x v="4"/>
    <x v="3"/>
    <x v="4"/>
    <x v="40"/>
    <x v="45"/>
    <x v="48"/>
  </r>
  <r>
    <s v="AXR-10962-010"/>
    <x v="180"/>
    <s v="53683-35977-KI"/>
    <s v="E-D-1"/>
    <n v="2"/>
    <s v="Myles Seawright"/>
    <s v="mseawright7e@nbcnews.com"/>
    <x v="2"/>
    <s v="Newton"/>
    <x v="4"/>
    <x v="3"/>
    <x v="4"/>
    <x v="40"/>
    <x v="45"/>
    <x v="48"/>
  </r>
  <r>
    <s v="IHS-71573-008"/>
    <x v="228"/>
    <s v="07972-83134-NM"/>
    <s v="E-D-0.2"/>
    <n v="6"/>
    <s v="Silvana Northeast"/>
    <s v="snortheast7f@mashable.com"/>
    <x v="0"/>
    <s v="Sparks"/>
    <x v="4"/>
    <x v="3"/>
    <x v="4"/>
    <x v="40"/>
    <x v="45"/>
    <x v="48"/>
  </r>
  <r>
    <s v="QTR-19001-114"/>
    <x v="229"/>
    <s v="01035-70465-UO"/>
    <s v="A-D-1"/>
    <n v="2"/>
    <s v="Annecorinne Leehane"/>
    <n v="0"/>
    <x v="0"/>
    <s v="Bryan"/>
    <x v="4"/>
    <x v="3"/>
    <x v="4"/>
    <x v="40"/>
    <x v="45"/>
    <x v="48"/>
  </r>
  <r>
    <s v="WBK-62297-910"/>
    <x v="230"/>
    <s v="25514-23938-IQ"/>
    <s v="A-D-0.2"/>
    <n v="2"/>
    <s v="Monica Fearon"/>
    <s v="mfearon7h@reverbnation.com"/>
    <x v="0"/>
    <s v="Denton"/>
    <x v="4"/>
    <x v="3"/>
    <x v="4"/>
    <x v="40"/>
    <x v="45"/>
    <x v="48"/>
  </r>
  <r>
    <s v="OGY-19377-175"/>
    <x v="231"/>
    <s v="49084-44492-OJ"/>
    <s v="E-D-0.5"/>
    <n v="1"/>
    <s v="Barney Chisnell"/>
    <n v="0"/>
    <x v="1"/>
    <s v="Tullamore"/>
    <x v="4"/>
    <x v="3"/>
    <x v="4"/>
    <x v="40"/>
    <x v="45"/>
    <x v="48"/>
  </r>
  <r>
    <s v="ESR-66651-814"/>
    <x v="80"/>
    <s v="76624-72205-CK"/>
    <s v="A-D-0.2"/>
    <n v="4"/>
    <s v="Jasper Sisneros"/>
    <s v="jsisneros7j@a8.net"/>
    <x v="0"/>
    <s v="Raleigh"/>
    <x v="4"/>
    <x v="3"/>
    <x v="4"/>
    <x v="40"/>
    <x v="45"/>
    <x v="48"/>
  </r>
  <r>
    <s v="CPX-46916-770"/>
    <x v="232"/>
    <s v="12729-50170-JE"/>
    <s v="R-L-1"/>
    <n v="6"/>
    <s v="Zachariah Carlson"/>
    <s v="zcarlson7k@bigcartel.com"/>
    <x v="1"/>
    <s v="Shankill"/>
    <x v="4"/>
    <x v="3"/>
    <x v="4"/>
    <x v="40"/>
    <x v="45"/>
    <x v="48"/>
  </r>
  <r>
    <s v="MDC-03318-645"/>
    <x v="233"/>
    <s v="43974-44760-QI"/>
    <s v="A-L-0.2"/>
    <n v="2"/>
    <s v="Warner Maddox"/>
    <s v="wmaddox7l@timesonline.co.uk"/>
    <x v="0"/>
    <s v="New York City"/>
    <x v="4"/>
    <x v="3"/>
    <x v="4"/>
    <x v="40"/>
    <x v="45"/>
    <x v="48"/>
  </r>
  <r>
    <s v="SFF-86059-407"/>
    <x v="234"/>
    <s v="30585-48726-BK"/>
    <s v="A-M-2.5"/>
    <n v="1"/>
    <s v="Donnie Hedlestone"/>
    <s v="dhedlestone7m@craigslist.org"/>
    <x v="0"/>
    <s v="Stamford"/>
    <x v="4"/>
    <x v="3"/>
    <x v="4"/>
    <x v="40"/>
    <x v="45"/>
    <x v="48"/>
  </r>
  <r>
    <s v="SCL-94540-788"/>
    <x v="235"/>
    <s v="16123-07017-TY"/>
    <s v="E-L-2.5"/>
    <n v="6"/>
    <s v="Teddi Crowthe"/>
    <s v="tcrowthe7n@europa.eu"/>
    <x v="0"/>
    <s v="Toledo"/>
    <x v="4"/>
    <x v="3"/>
    <x v="4"/>
    <x v="40"/>
    <x v="45"/>
    <x v="48"/>
  </r>
  <r>
    <s v="HVU-21634-076"/>
    <x v="236"/>
    <s v="27723-45097-MH"/>
    <s v="R-L-2.5"/>
    <n v="4"/>
    <s v="Dorelia Bury"/>
    <s v="dbury7o@tinyurl.com"/>
    <x v="1"/>
    <s v="Castleblayney"/>
    <x v="4"/>
    <x v="3"/>
    <x v="4"/>
    <x v="40"/>
    <x v="45"/>
    <x v="48"/>
  </r>
  <r>
    <s v="XUS-73326-418"/>
    <x v="237"/>
    <s v="37078-56703-AF"/>
    <s v="E-L-1"/>
    <n v="6"/>
    <s v="Gussy Broadbear"/>
    <s v="gbroadbear7p@omniture.com"/>
    <x v="0"/>
    <s v="Columbia"/>
    <x v="4"/>
    <x v="3"/>
    <x v="4"/>
    <x v="40"/>
    <x v="45"/>
    <x v="48"/>
  </r>
  <r>
    <s v="XWD-18933-006"/>
    <x v="238"/>
    <s v="79420-11075-MY"/>
    <s v="A-L-0.2"/>
    <n v="2"/>
    <s v="Emlynne Palfrey"/>
    <s v="epalfrey7q@devhub.com"/>
    <x v="0"/>
    <s v="Fort Wayne"/>
    <x v="4"/>
    <x v="3"/>
    <x v="4"/>
    <x v="40"/>
    <x v="45"/>
    <x v="48"/>
  </r>
  <r>
    <s v="HPD-65272-772"/>
    <x v="52"/>
    <s v="57504-13456-UO"/>
    <s v="L-M-2.5"/>
    <n v="1"/>
    <s v="Parsifal Metrick"/>
    <s v="pmetrick7r@rakuten.co.jp"/>
    <x v="0"/>
    <s v="Saint Louis"/>
    <x v="4"/>
    <x v="3"/>
    <x v="4"/>
    <x v="40"/>
    <x v="45"/>
    <x v="48"/>
  </r>
  <r>
    <s v="JEG-93140-224"/>
    <x v="146"/>
    <s v="53751-57560-CN"/>
    <s v="E-M-0.5"/>
    <n v="5"/>
    <s v="Christopher Grieveson"/>
    <n v="0"/>
    <x v="0"/>
    <s v="Portland"/>
    <x v="4"/>
    <x v="3"/>
    <x v="4"/>
    <x v="40"/>
    <x v="45"/>
    <x v="48"/>
  </r>
  <r>
    <s v="NNH-62058-950"/>
    <x v="239"/>
    <s v="96112-42558-EA"/>
    <s v="E-L-1"/>
    <n v="4"/>
    <s v="Karlan Karby"/>
    <s v="kkarby7t@sbwire.com"/>
    <x v="0"/>
    <s v="Boulder"/>
    <x v="4"/>
    <x v="3"/>
    <x v="4"/>
    <x v="40"/>
    <x v="45"/>
    <x v="48"/>
  </r>
  <r>
    <s v="LTD-71429-845"/>
    <x v="240"/>
    <s v="03157-23165-UB"/>
    <s v="A-L-0.5"/>
    <n v="1"/>
    <s v="Flory Crumpe"/>
    <s v="fcrumpe7u@ftc.gov"/>
    <x v="2"/>
    <s v="Norton"/>
    <x v="4"/>
    <x v="3"/>
    <x v="4"/>
    <x v="40"/>
    <x v="45"/>
    <x v="48"/>
  </r>
  <r>
    <s v="MPV-26985-215"/>
    <x v="241"/>
    <s v="51466-52850-AG"/>
    <s v="R-D-0.5"/>
    <n v="1"/>
    <s v="Amity Chatto"/>
    <s v="achatto7v@sakura.ne.jp"/>
    <x v="2"/>
    <s v="Sheffield"/>
    <x v="4"/>
    <x v="3"/>
    <x v="4"/>
    <x v="40"/>
    <x v="45"/>
    <x v="48"/>
  </r>
  <r>
    <s v="IYO-10245-081"/>
    <x v="242"/>
    <s v="57145-31023-FK"/>
    <s v="E-M-2.5"/>
    <n v="3"/>
    <s v="Nanine McCarthy"/>
    <n v="0"/>
    <x v="0"/>
    <s v="Louisville"/>
    <x v="4"/>
    <x v="3"/>
    <x v="4"/>
    <x v="40"/>
    <x v="45"/>
    <x v="48"/>
  </r>
  <r>
    <s v="BYZ-39669-954"/>
    <x v="243"/>
    <s v="66408-53777-VE"/>
    <s v="L-L-2.5"/>
    <n v="1"/>
    <s v="Lyndsey Megany"/>
    <n v="0"/>
    <x v="0"/>
    <s v="Buffalo"/>
    <x v="4"/>
    <x v="3"/>
    <x v="4"/>
    <x v="40"/>
    <x v="45"/>
    <x v="48"/>
  </r>
  <r>
    <s v="EFB-72860-209"/>
    <x v="244"/>
    <s v="53035-99701-WG"/>
    <s v="A-M-0.2"/>
    <n v="4"/>
    <s v="Byram Mergue"/>
    <s v="bmergue7y@umn.edu"/>
    <x v="0"/>
    <s v="Canton"/>
    <x v="4"/>
    <x v="3"/>
    <x v="4"/>
    <x v="40"/>
    <x v="45"/>
    <x v="48"/>
  </r>
  <r>
    <s v="GMM-72397-378"/>
    <x v="245"/>
    <s v="45899-92796-EI"/>
    <s v="R-L-0.2"/>
    <n v="4"/>
    <s v="Kerr Patise"/>
    <s v="kpatise7z@jigsy.com"/>
    <x v="0"/>
    <s v="Boston"/>
    <x v="4"/>
    <x v="3"/>
    <x v="4"/>
    <x v="40"/>
    <x v="45"/>
    <x v="48"/>
  </r>
  <r>
    <s v="LYP-52345-883"/>
    <x v="246"/>
    <s v="17649-28133-PY"/>
    <s v="E-M-0.5"/>
    <n v="1"/>
    <s v="Mathew Goulter"/>
    <n v="0"/>
    <x v="1"/>
    <s v="Kinlough"/>
    <x v="4"/>
    <x v="3"/>
    <x v="4"/>
    <x v="40"/>
    <x v="45"/>
    <x v="48"/>
  </r>
  <r>
    <s v="DFK-35846-692"/>
    <x v="247"/>
    <s v="49612-33852-CN"/>
    <s v="R-D-0.2"/>
    <n v="5"/>
    <s v="Marris Grcic"/>
    <n v="0"/>
    <x v="0"/>
    <s v="Lynchburg"/>
    <x v="4"/>
    <x v="3"/>
    <x v="4"/>
    <x v="40"/>
    <x v="45"/>
    <x v="48"/>
  </r>
  <r>
    <s v="XAH-93337-609"/>
    <x v="248"/>
    <s v="66976-43829-YG"/>
    <s v="A-D-1"/>
    <n v="5"/>
    <s v="Domeniga Duke"/>
    <s v="dduke82@vkontakte.ru"/>
    <x v="0"/>
    <s v="Los Angeles"/>
    <x v="4"/>
    <x v="3"/>
    <x v="4"/>
    <x v="40"/>
    <x v="45"/>
    <x v="48"/>
  </r>
  <r>
    <s v="QKA-72582-644"/>
    <x v="249"/>
    <s v="64852-04619-XZ"/>
    <s v="E-M-0.5"/>
    <n v="2"/>
    <s v="Violante Skouling"/>
    <n v="0"/>
    <x v="1"/>
    <s v="Drumcondra"/>
    <x v="4"/>
    <x v="3"/>
    <x v="4"/>
    <x v="40"/>
    <x v="45"/>
    <x v="48"/>
  </r>
  <r>
    <s v="ZDK-84567-102"/>
    <x v="250"/>
    <s v="58690-31815-VY"/>
    <s v="A-D-0.5"/>
    <n v="3"/>
    <s v="Isidore Hussey"/>
    <s v="ihussey84@mapy.cz"/>
    <x v="0"/>
    <s v="Birmingham"/>
    <x v="4"/>
    <x v="3"/>
    <x v="4"/>
    <x v="40"/>
    <x v="45"/>
    <x v="48"/>
  </r>
  <r>
    <s v="WAV-38301-984"/>
    <x v="251"/>
    <s v="62863-81239-DT"/>
    <s v="A-D-0.5"/>
    <n v="5"/>
    <s v="Cassie Pinkerton"/>
    <s v="cpinkerton85@upenn.edu"/>
    <x v="0"/>
    <s v="Alexandria"/>
    <x v="4"/>
    <x v="3"/>
    <x v="4"/>
    <x v="40"/>
    <x v="45"/>
    <x v="48"/>
  </r>
  <r>
    <s v="KZR-33023-209"/>
    <x v="177"/>
    <s v="21177-40725-CF"/>
    <s v="E-L-1"/>
    <n v="3"/>
    <s v="Micki Fero"/>
    <n v="0"/>
    <x v="0"/>
    <s v="Danbury"/>
    <x v="4"/>
    <x v="3"/>
    <x v="4"/>
    <x v="40"/>
    <x v="45"/>
    <x v="48"/>
  </r>
  <r>
    <s v="ULM-49433-003"/>
    <x v="252"/>
    <s v="99421-80253-UI"/>
    <s v="E-M-1"/>
    <n v="2"/>
    <s v="Cybill Graddell"/>
    <n v="0"/>
    <x v="0"/>
    <s v="Albany"/>
    <x v="4"/>
    <x v="3"/>
    <x v="4"/>
    <x v="40"/>
    <x v="45"/>
    <x v="48"/>
  </r>
  <r>
    <s v="SIB-83254-136"/>
    <x v="253"/>
    <s v="45315-50206-DK"/>
    <s v="R-M-0.5"/>
    <n v="6"/>
    <s v="Dorian Vizor"/>
    <s v="dvizor88@furl.net"/>
    <x v="0"/>
    <s v="Naples"/>
    <x v="4"/>
    <x v="3"/>
    <x v="4"/>
    <x v="40"/>
    <x v="45"/>
    <x v="48"/>
  </r>
  <r>
    <s v="NOK-50349-551"/>
    <x v="254"/>
    <s v="09595-95726-OV"/>
    <s v="R-D-0.5"/>
    <n v="3"/>
    <s v="Eddi Sedgebeer"/>
    <s v="esedgebeer89@oaic.gov.au"/>
    <x v="0"/>
    <s v="Miami Beach"/>
    <x v="4"/>
    <x v="3"/>
    <x v="4"/>
    <x v="40"/>
    <x v="45"/>
    <x v="48"/>
  </r>
  <r>
    <s v="YIS-96268-844"/>
    <x v="227"/>
    <s v="60221-67036-TD"/>
    <s v="E-L-0.2"/>
    <n v="6"/>
    <s v="Ken Lestrange"/>
    <s v="klestrange8a@lulu.com"/>
    <x v="0"/>
    <s v="Atlanta"/>
    <x v="4"/>
    <x v="3"/>
    <x v="4"/>
    <x v="40"/>
    <x v="45"/>
    <x v="48"/>
  </r>
  <r>
    <s v="CXI-04933-855"/>
    <x v="110"/>
    <s v="62923-29397-KX"/>
    <s v="E-L-2.5"/>
    <n v="6"/>
    <s v="Lacee Tanti"/>
    <s v="ltanti8b@techcrunch.com"/>
    <x v="0"/>
    <s v="Corpus Christi"/>
    <x v="4"/>
    <x v="3"/>
    <x v="4"/>
    <x v="40"/>
    <x v="45"/>
    <x v="48"/>
  </r>
  <r>
    <s v="IZU-90429-382"/>
    <x v="182"/>
    <s v="33011-52383-BA"/>
    <s v="A-L-1"/>
    <n v="3"/>
    <s v="Arel De Lasci"/>
    <s v="ade8c@1und1.de"/>
    <x v="0"/>
    <s v="Honolulu"/>
    <x v="4"/>
    <x v="3"/>
    <x v="4"/>
    <x v="40"/>
    <x v="45"/>
    <x v="48"/>
  </r>
  <r>
    <s v="WIT-40912-783"/>
    <x v="255"/>
    <s v="86768-91598-FA"/>
    <s v="L-D-0.2"/>
    <n v="4"/>
    <s v="Trescha Jedrachowicz"/>
    <s v="tjedrachowicz8d@acquirethisname.com"/>
    <x v="0"/>
    <s v="Austin"/>
    <x v="4"/>
    <x v="3"/>
    <x v="4"/>
    <x v="40"/>
    <x v="45"/>
    <x v="48"/>
  </r>
  <r>
    <s v="PSD-57291-590"/>
    <x v="256"/>
    <s v="37191-12203-MX"/>
    <s v="A-M-0.5"/>
    <n v="1"/>
    <s v="Perkin Stonner"/>
    <s v="pstonner8e@moonfruit.com"/>
    <x v="0"/>
    <s v="Baltimore"/>
    <x v="4"/>
    <x v="3"/>
    <x v="4"/>
    <x v="40"/>
    <x v="45"/>
    <x v="48"/>
  </r>
  <r>
    <s v="GOI-41472-677"/>
    <x v="3"/>
    <s v="16545-76328-JY"/>
    <s v="E-D-2.5"/>
    <n v="4"/>
    <s v="Darrin Tingly"/>
    <s v="dtingly8f@goo.ne.jp"/>
    <x v="0"/>
    <s v="Lexington"/>
    <x v="4"/>
    <x v="3"/>
    <x v="4"/>
    <x v="40"/>
    <x v="45"/>
    <x v="48"/>
  </r>
  <r>
    <s v="KTX-17944-494"/>
    <x v="257"/>
    <s v="74330-29286-RO"/>
    <s v="A-L-0.2"/>
    <n v="1"/>
    <s v="Rhodie Whife"/>
    <s v="rwhife8g@360.cn"/>
    <x v="0"/>
    <s v="Joliet"/>
    <x v="4"/>
    <x v="3"/>
    <x v="4"/>
    <x v="40"/>
    <x v="45"/>
    <x v="48"/>
  </r>
  <r>
    <s v="RDM-99811-230"/>
    <x v="258"/>
    <s v="22349-47389-GY"/>
    <s v="L-M-0.2"/>
    <n v="5"/>
    <s v="Benn Checci"/>
    <s v="bchecci8h@usa.gov"/>
    <x v="2"/>
    <s v="Eaton"/>
    <x v="4"/>
    <x v="3"/>
    <x v="4"/>
    <x v="40"/>
    <x v="45"/>
    <x v="48"/>
  </r>
  <r>
    <s v="JTU-55897-581"/>
    <x v="259"/>
    <s v="70290-38099-GB"/>
    <s v="R-M-0.2"/>
    <n v="5"/>
    <s v="Janifer Bagot"/>
    <s v="jbagot8i@mac.com"/>
    <x v="0"/>
    <s v="Lincoln"/>
    <x v="4"/>
    <x v="3"/>
    <x v="4"/>
    <x v="40"/>
    <x v="45"/>
    <x v="48"/>
  </r>
  <r>
    <s v="CRK-07584-240"/>
    <x v="260"/>
    <s v="18741-72071-PP"/>
    <s v="A-M-1"/>
    <n v="3"/>
    <s v="Ermin Beeble"/>
    <s v="ebeeble8j@soundcloud.com"/>
    <x v="0"/>
    <s v="Cincinnati"/>
    <x v="4"/>
    <x v="3"/>
    <x v="4"/>
    <x v="40"/>
    <x v="45"/>
    <x v="48"/>
  </r>
  <r>
    <s v="MKE-75518-399"/>
    <x v="261"/>
    <s v="62588-82624-II"/>
    <s v="A-M-1"/>
    <n v="3"/>
    <s v="Cos Fluin"/>
    <s v="cfluin8k@flickr.com"/>
    <x v="2"/>
    <s v="Sheffield"/>
    <x v="4"/>
    <x v="3"/>
    <x v="4"/>
    <x v="40"/>
    <x v="45"/>
    <x v="48"/>
  </r>
  <r>
    <s v="AEL-51169-725"/>
    <x v="262"/>
    <s v="37430-29579-HD"/>
    <s v="L-M-0.2"/>
    <n v="6"/>
    <s v="Eveleen Bletsor"/>
    <s v="ebletsor8l@vinaora.com"/>
    <x v="0"/>
    <s v="West Hartford"/>
    <x v="4"/>
    <x v="3"/>
    <x v="4"/>
    <x v="40"/>
    <x v="45"/>
    <x v="48"/>
  </r>
  <r>
    <s v="ZGM-83108-823"/>
    <x v="263"/>
    <s v="84132-22322-QT"/>
    <s v="E-L-1"/>
    <n v="1"/>
    <s v="Paola Brydell"/>
    <s v="pbrydell8m@bloglovin.com"/>
    <x v="1"/>
    <s v="Listowel"/>
    <x v="4"/>
    <x v="3"/>
    <x v="4"/>
    <x v="40"/>
    <x v="45"/>
    <x v="48"/>
  </r>
  <r>
    <s v="JBP-78754-392"/>
    <x v="212"/>
    <s v="74330-29286-RO"/>
    <s v="E-M-2.5"/>
    <n v="6"/>
    <s v="Claudetta Rushe"/>
    <s v="crushe8n@about.me"/>
    <x v="0"/>
    <s v="Charlotte"/>
    <x v="4"/>
    <x v="3"/>
    <x v="4"/>
    <x v="40"/>
    <x v="45"/>
    <x v="48"/>
  </r>
  <r>
    <s v="RNH-54912-747"/>
    <x v="187"/>
    <s v="37445-17791-NQ"/>
    <s v="R-M-0.5"/>
    <n v="1"/>
    <s v="Natka Leethem"/>
    <s v="nleethem8o@mac.com"/>
    <x v="0"/>
    <s v="Alexandria"/>
    <x v="4"/>
    <x v="3"/>
    <x v="4"/>
    <x v="40"/>
    <x v="45"/>
    <x v="48"/>
  </r>
  <r>
    <s v="JDS-33440-914"/>
    <x v="248"/>
    <s v="58511-10548-ZU"/>
    <s v="R-M-1"/>
    <n v="3"/>
    <s v="Ailene Nesfield"/>
    <s v="anesfield8p@people.com.cn"/>
    <x v="2"/>
    <s v="Belfast"/>
    <x v="4"/>
    <x v="3"/>
    <x v="4"/>
    <x v="40"/>
    <x v="45"/>
    <x v="48"/>
  </r>
  <r>
    <s v="SYX-48878-182"/>
    <x v="264"/>
    <s v="47725-34771-FJ"/>
    <s v="R-D-1"/>
    <n v="5"/>
    <s v="Stacy Pickworth"/>
    <n v="0"/>
    <x v="0"/>
    <s v="Las Vegas"/>
    <x v="4"/>
    <x v="3"/>
    <x v="4"/>
    <x v="40"/>
    <x v="45"/>
    <x v="48"/>
  </r>
  <r>
    <s v="ZGD-94763-868"/>
    <x v="265"/>
    <s v="53086-67334-KT"/>
    <s v="E-L-2.5"/>
    <n v="1"/>
    <s v="Melli Brockway"/>
    <s v="mbrockway8r@ibm.com"/>
    <x v="0"/>
    <s v="Des Moines"/>
    <x v="4"/>
    <x v="3"/>
    <x v="4"/>
    <x v="40"/>
    <x v="45"/>
    <x v="48"/>
  </r>
  <r>
    <s v="CZY-70361-485"/>
    <x v="266"/>
    <s v="83308-82257-UN"/>
    <s v="E-L-2.5"/>
    <n v="6"/>
    <s v="Nanny Lush"/>
    <s v="nlush8s@dedecms.com"/>
    <x v="1"/>
    <s v="Ballivor"/>
    <x v="4"/>
    <x v="3"/>
    <x v="4"/>
    <x v="40"/>
    <x v="45"/>
    <x v="48"/>
  </r>
  <r>
    <s v="RJR-12175-899"/>
    <x v="267"/>
    <s v="37274-08534-FM"/>
    <s v="E-D-0.5"/>
    <n v="3"/>
    <s v="Selma McMillian"/>
    <s v="smcmillian8t@csmonitor.com"/>
    <x v="0"/>
    <s v="Akron"/>
    <x v="4"/>
    <x v="3"/>
    <x v="4"/>
    <x v="40"/>
    <x v="45"/>
    <x v="48"/>
  </r>
  <r>
    <s v="ELB-07929-407"/>
    <x v="204"/>
    <s v="54004-04664-AA"/>
    <s v="A-M-2.5"/>
    <n v="2"/>
    <s v="Tess Bennison"/>
    <s v="tbennison8u@google.cn"/>
    <x v="0"/>
    <s v="West Palm Beach"/>
    <x v="4"/>
    <x v="3"/>
    <x v="4"/>
    <x v="40"/>
    <x v="45"/>
    <x v="48"/>
  </r>
  <r>
    <s v="UJQ-54441-340"/>
    <x v="268"/>
    <s v="26822-19510-SD"/>
    <s v="E-M-0.2"/>
    <n v="2"/>
    <s v="Gabie Tweed"/>
    <s v="gtweed8v@yolasite.com"/>
    <x v="0"/>
    <s v="Fresno"/>
    <x v="4"/>
    <x v="3"/>
    <x v="4"/>
    <x v="40"/>
    <x v="45"/>
    <x v="48"/>
  </r>
  <r>
    <s v="UJQ-54441-340"/>
    <x v="268"/>
    <s v="26822-19510-SD"/>
    <s v="A-L-0.2"/>
    <n v="5"/>
    <s v="Freddie Cusick"/>
    <s v="fcusick8w@hatena.ne.jp"/>
    <x v="0"/>
    <s v="Iowa City"/>
    <x v="4"/>
    <x v="3"/>
    <x v="4"/>
    <x v="40"/>
    <x v="45"/>
    <x v="48"/>
  </r>
  <r>
    <s v="OWY-43108-475"/>
    <x v="269"/>
    <s v="06432-73165-ML"/>
    <s v="A-M-0.2"/>
    <n v="6"/>
    <s v="Gaile Goggin"/>
    <s v="ggoggin8x@wix.com"/>
    <x v="1"/>
    <s v="Sandyford"/>
    <x v="4"/>
    <x v="3"/>
    <x v="4"/>
    <x v="40"/>
    <x v="45"/>
    <x v="48"/>
  </r>
  <r>
    <s v="GNO-91911-159"/>
    <x v="145"/>
    <s v="96503-31833-CW"/>
    <s v="L-D-0.5"/>
    <n v="3"/>
    <s v="Skylar Jeyness"/>
    <s v="sjeyness8y@biglobe.ne.jp"/>
    <x v="1"/>
    <s v="Dublin"/>
    <x v="4"/>
    <x v="3"/>
    <x v="4"/>
    <x v="40"/>
    <x v="45"/>
    <x v="48"/>
  </r>
  <r>
    <s v="CNY-06284-066"/>
    <x v="270"/>
    <s v="63985-64148-MG"/>
    <s v="E-D-0.2"/>
    <n v="5"/>
    <s v="Donica Bonhome"/>
    <s v="dbonhome8z@shinystat.com"/>
    <x v="0"/>
    <s v="Knoxville"/>
    <x v="4"/>
    <x v="3"/>
    <x v="4"/>
    <x v="40"/>
    <x v="45"/>
    <x v="48"/>
  </r>
  <r>
    <s v="OQS-46321-904"/>
    <x v="271"/>
    <s v="19597-91185-CM"/>
    <s v="E-M-1"/>
    <n v="1"/>
    <s v="Diena Peetermann"/>
    <n v="0"/>
    <x v="0"/>
    <s v="Shawnee Mission"/>
    <x v="4"/>
    <x v="3"/>
    <x v="4"/>
    <x v="40"/>
    <x v="45"/>
    <x v="48"/>
  </r>
  <r>
    <s v="IBW-87442-480"/>
    <x v="272"/>
    <s v="79814-23626-JR"/>
    <s v="A-L-2.5"/>
    <n v="1"/>
    <s v="Trina Le Sarr"/>
    <s v="tle91@epa.gov"/>
    <x v="0"/>
    <s v="San Francisco"/>
    <x v="4"/>
    <x v="3"/>
    <x v="4"/>
    <x v="40"/>
    <x v="45"/>
    <x v="48"/>
  </r>
  <r>
    <s v="DGZ-82537-477"/>
    <x v="252"/>
    <s v="43439-94003-DW"/>
    <s v="R-D-1"/>
    <n v="5"/>
    <s v="Flynn Antony"/>
    <n v="0"/>
    <x v="0"/>
    <s v="Birmingham"/>
    <x v="4"/>
    <x v="3"/>
    <x v="4"/>
    <x v="40"/>
    <x v="45"/>
    <x v="48"/>
  </r>
  <r>
    <s v="LPS-39089-432"/>
    <x v="273"/>
    <s v="97655-45555-LI"/>
    <s v="R-D-1"/>
    <n v="5"/>
    <s v="Baudoin Alldridge"/>
    <s v="balldridge93@yandex.ru"/>
    <x v="0"/>
    <s v="Brooklyn"/>
    <x v="4"/>
    <x v="3"/>
    <x v="4"/>
    <x v="40"/>
    <x v="45"/>
    <x v="48"/>
  </r>
  <r>
    <s v="MQU-86100-929"/>
    <x v="274"/>
    <s v="64418-01720-VW"/>
    <s v="L-L-0.5"/>
    <n v="4"/>
    <s v="Homer Dulany"/>
    <n v="0"/>
    <x v="0"/>
    <s v="El Paso"/>
    <x v="4"/>
    <x v="3"/>
    <x v="4"/>
    <x v="40"/>
    <x v="45"/>
    <x v="48"/>
  </r>
  <r>
    <s v="XUR-14132-391"/>
    <x v="275"/>
    <s v="96836-09258-RI"/>
    <s v="R-D-0.5"/>
    <n v="4"/>
    <s v="Lisa Goodger"/>
    <s v="lgoodger95@guardian.co.uk"/>
    <x v="0"/>
    <s v="Sacramento"/>
    <x v="4"/>
    <x v="3"/>
    <x v="4"/>
    <x v="40"/>
    <x v="45"/>
    <x v="48"/>
  </r>
  <r>
    <s v="OVI-27064-381"/>
    <x v="276"/>
    <s v="37274-08534-FM"/>
    <s v="R-D-0.5"/>
    <n v="3"/>
    <s v="Fiorenze Drogan"/>
    <s v="fdrogan96@gnu.org"/>
    <x v="0"/>
    <s v="Washington"/>
    <x v="4"/>
    <x v="3"/>
    <x v="4"/>
    <x v="40"/>
    <x v="45"/>
    <x v="48"/>
  </r>
  <r>
    <s v="SHP-17012-870"/>
    <x v="277"/>
    <s v="69529-07533-CV"/>
    <s v="R-M-2.5"/>
    <n v="1"/>
    <s v="Corine Drewett"/>
    <s v="cdrewett97@wikipedia.org"/>
    <x v="0"/>
    <s v="Boynton Beach"/>
    <x v="4"/>
    <x v="3"/>
    <x v="4"/>
    <x v="40"/>
    <x v="45"/>
    <x v="48"/>
  </r>
  <r>
    <s v="FDY-03414-903"/>
    <x v="278"/>
    <s v="94840-49457-UD"/>
    <s v="A-D-0.5"/>
    <n v="3"/>
    <s v="Quinn Parsons"/>
    <s v="qparsons98@blogtalkradio.com"/>
    <x v="0"/>
    <s v="Los Angeles"/>
    <x v="4"/>
    <x v="3"/>
    <x v="4"/>
    <x v="40"/>
    <x v="45"/>
    <x v="48"/>
  </r>
  <r>
    <s v="WXT-85291-143"/>
    <x v="279"/>
    <s v="81414-81273-DK"/>
    <s v="R-M-0.5"/>
    <n v="4"/>
    <s v="Vivyan Ceely"/>
    <s v="vceely99@auda.org.au"/>
    <x v="0"/>
    <s v="Baltimore"/>
    <x v="4"/>
    <x v="3"/>
    <x v="4"/>
    <x v="40"/>
    <x v="45"/>
    <x v="48"/>
  </r>
  <r>
    <s v="QNP-18893-547"/>
    <x v="280"/>
    <s v="76930-61689-CH"/>
    <s v="R-L-1"/>
    <n v="5"/>
    <s v="Elonore Goodings"/>
    <n v="0"/>
    <x v="0"/>
    <s v="Salt Lake City"/>
    <x v="4"/>
    <x v="3"/>
    <x v="4"/>
    <x v="40"/>
    <x v="45"/>
    <x v="48"/>
  </r>
  <r>
    <s v="DOH-92927-530"/>
    <x v="281"/>
    <s v="12839-56537-TQ"/>
    <s v="L-L-0.2"/>
    <n v="6"/>
    <s v="Clement Vasiliev"/>
    <s v="cvasiliev9b@discuz.net"/>
    <x v="0"/>
    <s v="Garland"/>
    <x v="4"/>
    <x v="3"/>
    <x v="4"/>
    <x v="40"/>
    <x v="45"/>
    <x v="48"/>
  </r>
  <r>
    <s v="HGJ-82768-173"/>
    <x v="282"/>
    <s v="62741-01322-HU"/>
    <s v="A-M-1"/>
    <n v="4"/>
    <s v="Terencio O'Moylan"/>
    <s v="tomoylan9c@liveinternet.ru"/>
    <x v="2"/>
    <s v="Church End"/>
    <x v="4"/>
    <x v="3"/>
    <x v="4"/>
    <x v="40"/>
    <x v="45"/>
    <x v="48"/>
  </r>
  <r>
    <s v="YPT-95383-088"/>
    <x v="283"/>
    <s v="43439-94003-DW"/>
    <s v="E-D-2.5"/>
    <n v="2"/>
    <s v="Jeddy Vanyarkin"/>
    <n v="0"/>
    <x v="0"/>
    <s v="Columbus"/>
    <x v="4"/>
    <x v="3"/>
    <x v="4"/>
    <x v="40"/>
    <x v="45"/>
    <x v="48"/>
  </r>
  <r>
    <s v="OYH-16533-767"/>
    <x v="284"/>
    <s v="44932-34838-RM"/>
    <s v="E-L-1"/>
    <n v="4"/>
    <s v="Wyatan Fetherston"/>
    <s v="wfetherston9e@constantcontact.com"/>
    <x v="0"/>
    <s v="New York City"/>
    <x v="4"/>
    <x v="3"/>
    <x v="4"/>
    <x v="40"/>
    <x v="45"/>
    <x v="48"/>
  </r>
  <r>
    <s v="DWW-28642-549"/>
    <x v="285"/>
    <s v="91181-19412-RQ"/>
    <s v="E-D-0.2"/>
    <n v="2"/>
    <s v="Emmaline Rasmus"/>
    <s v="erasmus9f@techcrunch.com"/>
    <x v="0"/>
    <s v="Boston"/>
    <x v="4"/>
    <x v="3"/>
    <x v="4"/>
    <x v="40"/>
    <x v="45"/>
    <x v="48"/>
  </r>
  <r>
    <s v="CGO-79583-871"/>
    <x v="286"/>
    <s v="37182-54930-XC"/>
    <s v="E-D-0.5"/>
    <n v="1"/>
    <s v="Wesley Giorgioni"/>
    <s v="wgiorgioni9g@wikipedia.org"/>
    <x v="0"/>
    <s v="San Francisco"/>
    <x v="4"/>
    <x v="3"/>
    <x v="4"/>
    <x v="40"/>
    <x v="45"/>
    <x v="48"/>
  </r>
  <r>
    <s v="TFY-52090-386"/>
    <x v="287"/>
    <s v="08613-17327-XT"/>
    <s v="E-L-0.5"/>
    <n v="2"/>
    <s v="Lucienne Scargle"/>
    <s v="lscargle9h@myspace.com"/>
    <x v="0"/>
    <s v="Indianapolis"/>
    <x v="4"/>
    <x v="3"/>
    <x v="4"/>
    <x v="40"/>
    <x v="45"/>
    <x v="48"/>
  </r>
  <r>
    <s v="TFY-52090-386"/>
    <x v="287"/>
    <s v="08613-17327-XT"/>
    <s v="L-D-0.5"/>
    <n v="5"/>
    <s v="Christy Franseco"/>
    <s v="cfranseco9i@phoca.cz"/>
    <x v="0"/>
    <s v="Jacksonville"/>
    <x v="4"/>
    <x v="3"/>
    <x v="4"/>
    <x v="40"/>
    <x v="45"/>
    <x v="48"/>
  </r>
  <r>
    <s v="NYY-73968-094"/>
    <x v="288"/>
    <s v="70451-38048-AH"/>
    <s v="R-D-0.5"/>
    <n v="6"/>
    <s v="Noam Climance"/>
    <s v="nclimance9j@europa.eu"/>
    <x v="0"/>
    <s v="Seattle"/>
    <x v="4"/>
    <x v="3"/>
    <x v="4"/>
    <x v="40"/>
    <x v="45"/>
    <x v="48"/>
  </r>
  <r>
    <s v="QEY-71761-460"/>
    <x v="250"/>
    <s v="35442-75769-PL"/>
    <s v="R-M-1"/>
    <n v="2"/>
    <s v="Catarina Donn"/>
    <n v="0"/>
    <x v="1"/>
    <s v="Dunmanway"/>
    <x v="4"/>
    <x v="3"/>
    <x v="4"/>
    <x v="40"/>
    <x v="45"/>
    <x v="48"/>
  </r>
  <r>
    <s v="GKQ-82603-910"/>
    <x v="289"/>
    <s v="83737-56117-JE"/>
    <s v="R-L-1"/>
    <n v="5"/>
    <s v="Ameline Snazle"/>
    <s v="asnazle9l@oracle.com"/>
    <x v="0"/>
    <s v="Montgomery"/>
    <x v="4"/>
    <x v="3"/>
    <x v="4"/>
    <x v="40"/>
    <x v="45"/>
    <x v="48"/>
  </r>
  <r>
    <s v="IOB-32673-745"/>
    <x v="290"/>
    <s v="07095-81281-NJ"/>
    <s v="A-L-0.5"/>
    <n v="3"/>
    <s v="Rebeka Worg"/>
    <s v="rworg9m@arstechnica.com"/>
    <x v="0"/>
    <s v="Dallas"/>
    <x v="4"/>
    <x v="3"/>
    <x v="4"/>
    <x v="40"/>
    <x v="45"/>
    <x v="48"/>
  </r>
  <r>
    <s v="YAU-98893-150"/>
    <x v="291"/>
    <s v="77043-48851-HG"/>
    <s v="L-M-1"/>
    <n v="3"/>
    <s v="Lewes Danes"/>
    <s v="ldanes9n@umn.edu"/>
    <x v="0"/>
    <s v="Topeka"/>
    <x v="4"/>
    <x v="3"/>
    <x v="4"/>
    <x v="40"/>
    <x v="45"/>
    <x v="48"/>
  </r>
  <r>
    <s v="XNM-14163-951"/>
    <x v="292"/>
    <s v="78224-60622-KH"/>
    <s v="E-L-2.5"/>
    <n v="6"/>
    <s v="Shelli Keynd"/>
    <s v="skeynd9o@narod.ru"/>
    <x v="0"/>
    <s v="Tyler"/>
    <x v="4"/>
    <x v="3"/>
    <x v="4"/>
    <x v="40"/>
    <x v="45"/>
    <x v="48"/>
  </r>
  <r>
    <s v="JPB-45297-000"/>
    <x v="293"/>
    <s v="83105-86631-IU"/>
    <s v="R-L-0.2"/>
    <n v="4"/>
    <s v="Dell Daveridge"/>
    <s v="ddaveridge9p@arstechnica.com"/>
    <x v="0"/>
    <s v="Los Angeles"/>
    <x v="4"/>
    <x v="3"/>
    <x v="4"/>
    <x v="40"/>
    <x v="45"/>
    <x v="48"/>
  </r>
  <r>
    <s v="MOU-74341-266"/>
    <x v="294"/>
    <s v="99358-65399-TC"/>
    <s v="A-D-0.5"/>
    <n v="4"/>
    <s v="Joshuah Awdry"/>
    <s v="jawdry9q@utexas.edu"/>
    <x v="0"/>
    <s v="Shreveport"/>
    <x v="4"/>
    <x v="3"/>
    <x v="4"/>
    <x v="40"/>
    <x v="45"/>
    <x v="48"/>
  </r>
  <r>
    <s v="DHJ-87461-571"/>
    <x v="295"/>
    <s v="94525-76037-JP"/>
    <s v="A-M-1"/>
    <n v="2"/>
    <s v="Ethel Ryles"/>
    <s v="eryles9r@fastcompany.com"/>
    <x v="0"/>
    <s v="Boise"/>
    <x v="4"/>
    <x v="3"/>
    <x v="4"/>
    <x v="40"/>
    <x v="45"/>
    <x v="48"/>
  </r>
  <r>
    <s v="DKM-97676-850"/>
    <x v="296"/>
    <s v="43439-94003-DW"/>
    <s v="E-D-0.5"/>
    <n v="5"/>
    <s v="Selie Baulcombe"/>
    <s v="sbaulcombe9s@dropbox.com"/>
    <x v="0"/>
    <s v="San Bernardino"/>
    <x v="4"/>
    <x v="3"/>
    <x v="4"/>
    <x v="40"/>
    <x v="45"/>
    <x v="48"/>
  </r>
  <r>
    <s v="UEB-09112-118"/>
    <x v="297"/>
    <s v="82718-93677-XO"/>
    <s v="A-M-0.5"/>
    <n v="4"/>
    <s v="Maitilde Boxill"/>
    <n v="0"/>
    <x v="0"/>
    <s v="Montgomery"/>
    <x v="4"/>
    <x v="3"/>
    <x v="4"/>
    <x v="40"/>
    <x v="45"/>
    <x v="48"/>
  </r>
  <r>
    <s v="ORZ-67699-748"/>
    <x v="298"/>
    <s v="44708-78241-DF"/>
    <s v="A-M-2.5"/>
    <n v="6"/>
    <s v="Jodee Caldicott"/>
    <s v="jcaldicott9u@usda.gov"/>
    <x v="0"/>
    <s v="Fort Pierce"/>
    <x v="4"/>
    <x v="3"/>
    <x v="4"/>
    <x v="40"/>
    <x v="45"/>
    <x v="48"/>
  </r>
  <r>
    <s v="JXP-28398-485"/>
    <x v="299"/>
    <s v="23039-93032-FN"/>
    <s v="A-D-2.5"/>
    <n v="5"/>
    <s v="Marianna Vedmore"/>
    <s v="mvedmore9v@a8.net"/>
    <x v="0"/>
    <s v="Greensboro"/>
    <x v="4"/>
    <x v="3"/>
    <x v="4"/>
    <x v="40"/>
    <x v="45"/>
    <x v="48"/>
  </r>
  <r>
    <s v="WWH-92259-198"/>
    <x v="300"/>
    <s v="35256-12529-FT"/>
    <s v="L-D-1"/>
    <n v="4"/>
    <s v="Willey Romao"/>
    <s v="wromao9w@chronoengine.com"/>
    <x v="0"/>
    <s v="Sacramento"/>
    <x v="4"/>
    <x v="3"/>
    <x v="4"/>
    <x v="40"/>
    <x v="45"/>
    <x v="48"/>
  </r>
  <r>
    <s v="FLR-82914-153"/>
    <x v="301"/>
    <s v="86100-33488-WP"/>
    <s v="A-M-2.5"/>
    <n v="6"/>
    <s v="Enriqueta Ixor"/>
    <n v="0"/>
    <x v="0"/>
    <s v="Round Rock"/>
    <x v="4"/>
    <x v="3"/>
    <x v="4"/>
    <x v="40"/>
    <x v="45"/>
    <x v="48"/>
  </r>
  <r>
    <s v="AMB-93600-000"/>
    <x v="302"/>
    <s v="64435-53100-WM"/>
    <s v="A-L-2.5"/>
    <n v="1"/>
    <s v="Tomasina Cotmore"/>
    <s v="tcotmore9y@amazonaws.com"/>
    <x v="0"/>
    <s v="Reston"/>
    <x v="4"/>
    <x v="3"/>
    <x v="4"/>
    <x v="40"/>
    <x v="45"/>
    <x v="48"/>
  </r>
  <r>
    <s v="FEP-36895-658"/>
    <x v="303"/>
    <s v="44699-43836-UH"/>
    <s v="R-L-0.2"/>
    <n v="6"/>
    <s v="Yuma Skipsey"/>
    <s v="yskipsey9z@spotify.com"/>
    <x v="2"/>
    <s v="Charlton"/>
    <x v="4"/>
    <x v="3"/>
    <x v="4"/>
    <x v="40"/>
    <x v="45"/>
    <x v="48"/>
  </r>
  <r>
    <s v="RXW-91413-276"/>
    <x v="304"/>
    <s v="29588-35679-RG"/>
    <s v="R-D-2.5"/>
    <n v="2"/>
    <s v="Nicko Corps"/>
    <s v="ncorpsa0@gmpg.org"/>
    <x v="0"/>
    <s v="Columbia"/>
    <x v="4"/>
    <x v="3"/>
    <x v="4"/>
    <x v="40"/>
    <x v="45"/>
    <x v="48"/>
  </r>
  <r>
    <s v="RXW-91413-276"/>
    <x v="304"/>
    <s v="29588-35679-RG"/>
    <s v="R-M-0.5"/>
    <n v="1"/>
    <s v="Christabel Rubury"/>
    <s v="cruburya1@geocities.jp"/>
    <x v="0"/>
    <s v="Nashville"/>
    <x v="4"/>
    <x v="3"/>
    <x v="4"/>
    <x v="40"/>
    <x v="45"/>
    <x v="48"/>
  </r>
  <r>
    <s v="SDB-77492-188"/>
    <x v="305"/>
    <s v="64815-54078-HH"/>
    <s v="E-L-1"/>
    <n v="5"/>
    <s v="Feliks Babber"/>
    <s v="fbabbera2@stanford.edu"/>
    <x v="0"/>
    <s v="Phoenix"/>
    <x v="4"/>
    <x v="3"/>
    <x v="4"/>
    <x v="40"/>
    <x v="45"/>
    <x v="48"/>
  </r>
  <r>
    <s v="RZN-65182-395"/>
    <x v="196"/>
    <s v="59572-41990-XY"/>
    <s v="L-M-1"/>
    <n v="6"/>
    <s v="Kaja Loxton"/>
    <s v="kloxtona3@opensource.org"/>
    <x v="0"/>
    <s v="Miami"/>
    <x v="4"/>
    <x v="3"/>
    <x v="4"/>
    <x v="40"/>
    <x v="45"/>
    <x v="48"/>
  </r>
  <r>
    <s v="HDQ-86094-507"/>
    <x v="110"/>
    <s v="32481-61533-ZJ"/>
    <s v="E-D-1"/>
    <n v="6"/>
    <s v="Parker Tofful"/>
    <s v="ptoffula4@posterous.com"/>
    <x v="0"/>
    <s v="Fresno"/>
    <x v="4"/>
    <x v="3"/>
    <x v="4"/>
    <x v="40"/>
    <x v="45"/>
    <x v="48"/>
  </r>
  <r>
    <s v="YXO-79631-417"/>
    <x v="24"/>
    <s v="31587-92570-HL"/>
    <s v="L-D-0.5"/>
    <n v="1"/>
    <s v="Casi Gwinnett"/>
    <s v="cgwinnetta5@behance.net"/>
    <x v="0"/>
    <s v="Anaheim"/>
    <x v="4"/>
    <x v="3"/>
    <x v="4"/>
    <x v="40"/>
    <x v="45"/>
    <x v="48"/>
  </r>
  <r>
    <s v="SNF-57032-096"/>
    <x v="306"/>
    <s v="93832-04799-ID"/>
    <s v="E-D-0.5"/>
    <n v="6"/>
    <s v="Saree Ellesworth"/>
    <n v="0"/>
    <x v="0"/>
    <s v="Newport News"/>
    <x v="4"/>
    <x v="3"/>
    <x v="4"/>
    <x v="40"/>
    <x v="45"/>
    <x v="48"/>
  </r>
  <r>
    <s v="DGL-29648-995"/>
    <x v="307"/>
    <s v="59367-30821-ZQ"/>
    <s v="L-M-0.2"/>
    <n v="2"/>
    <s v="Silvio Iorizzi"/>
    <n v="0"/>
    <x v="0"/>
    <s v="Spartanburg"/>
    <x v="4"/>
    <x v="3"/>
    <x v="4"/>
    <x v="40"/>
    <x v="45"/>
    <x v="48"/>
  </r>
  <r>
    <s v="GPU-65651-504"/>
    <x v="308"/>
    <s v="83947-45528-ET"/>
    <s v="E-M-2.5"/>
    <n v="2"/>
    <s v="Leesa Flaonier"/>
    <s v="lflaoniera8@wordpress.org"/>
    <x v="0"/>
    <s v="Staten Island"/>
    <x v="4"/>
    <x v="3"/>
    <x v="4"/>
    <x v="40"/>
    <x v="45"/>
    <x v="48"/>
  </r>
  <r>
    <s v="OJU-34452-896"/>
    <x v="309"/>
    <s v="60799-92593-CX"/>
    <s v="E-L-0.5"/>
    <n v="1"/>
    <s v="Abba Pummell"/>
    <n v="0"/>
    <x v="0"/>
    <s v="Las Vegas"/>
    <x v="4"/>
    <x v="3"/>
    <x v="4"/>
    <x v="40"/>
    <x v="45"/>
    <x v="48"/>
  </r>
  <r>
    <s v="GZS-50547-887"/>
    <x v="310"/>
    <s v="61600-55136-UM"/>
    <s v="E-D-1"/>
    <n v="2"/>
    <s v="Corinna Catcheside"/>
    <s v="ccatchesideaa@macromedia.com"/>
    <x v="0"/>
    <s v="Salt Lake City"/>
    <x v="4"/>
    <x v="3"/>
    <x v="4"/>
    <x v="40"/>
    <x v="45"/>
    <x v="48"/>
  </r>
  <r>
    <s v="ESR-54041-053"/>
    <x v="311"/>
    <s v="59771-90302-OF"/>
    <s v="A-L-0.5"/>
    <n v="6"/>
    <s v="Cortney Gibbonson"/>
    <s v="cgibbonsonab@accuweather.com"/>
    <x v="0"/>
    <s v="Seattle"/>
    <x v="4"/>
    <x v="3"/>
    <x v="4"/>
    <x v="40"/>
    <x v="45"/>
    <x v="48"/>
  </r>
  <r>
    <s v="OGD-10781-526"/>
    <x v="132"/>
    <s v="16880-78077-FB"/>
    <s v="R-L-0.5"/>
    <n v="6"/>
    <s v="Terri Farra"/>
    <s v="tfarraac@behance.net"/>
    <x v="0"/>
    <s v="Odessa"/>
    <x v="4"/>
    <x v="3"/>
    <x v="4"/>
    <x v="40"/>
    <x v="45"/>
    <x v="48"/>
  </r>
  <r>
    <s v="FVH-29271-315"/>
    <x v="312"/>
    <s v="74415-50873-FC"/>
    <s v="A-D-0.5"/>
    <n v="3"/>
    <s v="Corney Curme"/>
    <n v="0"/>
    <x v="1"/>
    <s v="Castleknock"/>
    <x v="4"/>
    <x v="3"/>
    <x v="4"/>
    <x v="40"/>
    <x v="45"/>
    <x v="48"/>
  </r>
  <r>
    <s v="BNZ-20544-633"/>
    <x v="313"/>
    <s v="31798-95707-NR"/>
    <s v="L-L-0.5"/>
    <n v="4"/>
    <s v="Gothart Bamfield"/>
    <s v="gbamfieldae@yellowpages.com"/>
    <x v="0"/>
    <s v="Irving"/>
    <x v="4"/>
    <x v="3"/>
    <x v="4"/>
    <x v="40"/>
    <x v="45"/>
    <x v="48"/>
  </r>
  <r>
    <s v="FUX-85791-078"/>
    <x v="156"/>
    <s v="59122-08794-WT"/>
    <s v="A-M-0.2"/>
    <n v="2"/>
    <s v="Waylin Hollingdale"/>
    <s v="whollingdaleaf@about.me"/>
    <x v="0"/>
    <s v="Dayton"/>
    <x v="4"/>
    <x v="3"/>
    <x v="4"/>
    <x v="40"/>
    <x v="45"/>
    <x v="48"/>
  </r>
  <r>
    <s v="YXP-20078-116"/>
    <x v="314"/>
    <s v="37238-52421-JJ"/>
    <s v="R-M-0.5"/>
    <n v="1"/>
    <s v="Judd De Leek"/>
    <s v="jdeag@xrea.com"/>
    <x v="0"/>
    <s v="Grand Rapids"/>
    <x v="4"/>
    <x v="3"/>
    <x v="4"/>
    <x v="40"/>
    <x v="45"/>
    <x v="48"/>
  </r>
  <r>
    <s v="VQV-59984-866"/>
    <x v="315"/>
    <s v="48854-01899-FN"/>
    <s v="R-D-0.2"/>
    <n v="3"/>
    <s v="Vanya Skullet"/>
    <s v="vskulletah@tinyurl.com"/>
    <x v="1"/>
    <s v="Balally"/>
    <x v="4"/>
    <x v="3"/>
    <x v="4"/>
    <x v="40"/>
    <x v="45"/>
    <x v="48"/>
  </r>
  <r>
    <s v="JEH-37276-048"/>
    <x v="316"/>
    <s v="80896-38819-DW"/>
    <s v="A-L-0.5"/>
    <n v="3"/>
    <s v="Jany Rudeforth"/>
    <s v="jrudeforthai@wunderground.com"/>
    <x v="1"/>
    <s v="Tullyallen"/>
    <x v="4"/>
    <x v="3"/>
    <x v="4"/>
    <x v="40"/>
    <x v="45"/>
    <x v="48"/>
  </r>
  <r>
    <s v="VYD-28555-589"/>
    <x v="317"/>
    <s v="29814-01459-RC"/>
    <s v="R-L-0.5"/>
    <n v="6"/>
    <s v="Ashbey Tomaszewski"/>
    <s v="atomaszewskiaj@answers.com"/>
    <x v="2"/>
    <s v="Sutton"/>
    <x v="4"/>
    <x v="3"/>
    <x v="4"/>
    <x v="40"/>
    <x v="45"/>
    <x v="48"/>
  </r>
  <r>
    <s v="WUG-76466-650"/>
    <x v="318"/>
    <s v="43439-94003-DW"/>
    <s v="L-D-0.5"/>
    <n v="3"/>
    <s v="Fanni Marti"/>
    <s v="fmartiak@stumbleupon.com"/>
    <x v="0"/>
    <s v="Springfield"/>
    <x v="4"/>
    <x v="3"/>
    <x v="4"/>
    <x v="40"/>
    <x v="45"/>
    <x v="48"/>
  </r>
  <r>
    <s v="RJV-08261-583"/>
    <x v="182"/>
    <s v="48497-29281-FE"/>
    <s v="A-D-0.2"/>
    <n v="5"/>
    <s v="Pren Bess"/>
    <s v="pbessal@qq.com"/>
    <x v="0"/>
    <s v="Los Angeles"/>
    <x v="4"/>
    <x v="3"/>
    <x v="4"/>
    <x v="40"/>
    <x v="45"/>
    <x v="48"/>
  </r>
  <r>
    <s v="PMR-56062-609"/>
    <x v="319"/>
    <s v="43605-12616-YH"/>
    <s v="E-D-0.5"/>
    <n v="3"/>
    <s v="Elka Windress"/>
    <s v="ewindressam@marketwatch.com"/>
    <x v="0"/>
    <s v="Baltimore"/>
    <x v="4"/>
    <x v="3"/>
    <x v="4"/>
    <x v="40"/>
    <x v="45"/>
    <x v="48"/>
  </r>
  <r>
    <s v="XLD-12920-505"/>
    <x v="320"/>
    <s v="21907-75962-VB"/>
    <s v="E-L-0.5"/>
    <n v="6"/>
    <s v="Marty Kidstoun"/>
    <n v="0"/>
    <x v="0"/>
    <s v="Harrisburg"/>
    <x v="4"/>
    <x v="3"/>
    <x v="4"/>
    <x v="40"/>
    <x v="45"/>
    <x v="48"/>
  </r>
  <r>
    <s v="UBW-50312-037"/>
    <x v="321"/>
    <s v="69503-12127-YD"/>
    <s v="A-L-2.5"/>
    <n v="4"/>
    <s v="Nickey Dimbleby"/>
    <n v="0"/>
    <x v="0"/>
    <s v="Dallas"/>
    <x v="4"/>
    <x v="3"/>
    <x v="4"/>
    <x v="40"/>
    <x v="45"/>
    <x v="48"/>
  </r>
  <r>
    <s v="QAW-05889-019"/>
    <x v="322"/>
    <s v="68810-07329-EU"/>
    <s v="L-M-0.5"/>
    <n v="5"/>
    <s v="Virgil Baumadier"/>
    <s v="vbaumadierap@google.cn"/>
    <x v="0"/>
    <s v="Kansas City"/>
    <x v="4"/>
    <x v="3"/>
    <x v="4"/>
    <x v="40"/>
    <x v="45"/>
    <x v="48"/>
  </r>
  <r>
    <s v="EPT-12715-397"/>
    <x v="128"/>
    <s v="08478-75251-OG"/>
    <s v="A-D-0.2"/>
    <n v="6"/>
    <s v="Lenore Messenbird"/>
    <n v="0"/>
    <x v="0"/>
    <s v="Springfield"/>
    <x v="4"/>
    <x v="3"/>
    <x v="4"/>
    <x v="40"/>
    <x v="45"/>
    <x v="48"/>
  </r>
  <r>
    <s v="DHT-93810-053"/>
    <x v="323"/>
    <s v="17005-82030-EA"/>
    <s v="E-L-1"/>
    <n v="5"/>
    <s v="Shirleen Welds"/>
    <s v="sweldsar@wired.com"/>
    <x v="0"/>
    <s v="New Haven"/>
    <x v="4"/>
    <x v="3"/>
    <x v="4"/>
    <x v="40"/>
    <x v="45"/>
    <x v="48"/>
  </r>
  <r>
    <s v="DMY-96037-963"/>
    <x v="324"/>
    <s v="42179-95059-DO"/>
    <s v="L-D-0.2"/>
    <n v="3"/>
    <s v="Maisie Sarvar"/>
    <s v="msarvaras@artisteer.com"/>
    <x v="0"/>
    <s v="Lawrenceville"/>
    <x v="4"/>
    <x v="3"/>
    <x v="4"/>
    <x v="40"/>
    <x v="45"/>
    <x v="48"/>
  </r>
  <r>
    <s v="MBM-55936-917"/>
    <x v="325"/>
    <s v="55989-39849-WO"/>
    <s v="L-D-0.5"/>
    <n v="3"/>
    <s v="Andrej Havick"/>
    <s v="ahavickat@nsw.gov.au"/>
    <x v="0"/>
    <s v="Asheville"/>
    <x v="4"/>
    <x v="3"/>
    <x v="4"/>
    <x v="40"/>
    <x v="45"/>
    <x v="48"/>
  </r>
  <r>
    <s v="TPA-93614-840"/>
    <x v="326"/>
    <s v="28932-49296-TM"/>
    <s v="E-D-0.5"/>
    <n v="2"/>
    <s v="Sloan Diviny"/>
    <s v="sdivinyau@ask.com"/>
    <x v="0"/>
    <s v="Saint Paul"/>
    <x v="4"/>
    <x v="3"/>
    <x v="4"/>
    <x v="40"/>
    <x v="45"/>
    <x v="48"/>
  </r>
  <r>
    <s v="WDM-77521-710"/>
    <x v="327"/>
    <s v="86144-10144-CB"/>
    <s v="A-M-0.5"/>
    <n v="2"/>
    <s v="Itch Norquoy"/>
    <s v="inorquoyav@businessweek.com"/>
    <x v="0"/>
    <s v="Minneapolis"/>
    <x v="4"/>
    <x v="3"/>
    <x v="4"/>
    <x v="40"/>
    <x v="45"/>
    <x v="48"/>
  </r>
  <r>
    <s v="EIP-19142-462"/>
    <x v="328"/>
    <s v="60973-72562-DQ"/>
    <s v="E-L-1"/>
    <n v="6"/>
    <s v="Anson Iddison"/>
    <s v="aiddisonaw@usa.gov"/>
    <x v="0"/>
    <s v="Santa Ana"/>
    <x v="4"/>
    <x v="3"/>
    <x v="4"/>
    <x v="40"/>
    <x v="45"/>
    <x v="48"/>
  </r>
  <r>
    <s v="EIP-19142-462"/>
    <x v="328"/>
    <s v="60973-72562-DQ"/>
    <s v="A-L-0.2"/>
    <n v="1"/>
    <s v="Dov Sprosson"/>
    <s v="dsprossonax@wunderground.com"/>
    <x v="0"/>
    <s v="Hagerstown"/>
    <x v="4"/>
    <x v="3"/>
    <x v="4"/>
    <x v="40"/>
    <x v="45"/>
    <x v="48"/>
  </r>
  <r>
    <s v="ZZL-76364-387"/>
    <x v="128"/>
    <s v="11263-86515-VU"/>
    <s v="R-L-2.5"/>
    <n v="4"/>
    <s v="Randal Longfield"/>
    <s v="rlongfielday@bluehost.com"/>
    <x v="0"/>
    <s v="Minneapolis"/>
    <x v="4"/>
    <x v="3"/>
    <x v="4"/>
    <x v="40"/>
    <x v="45"/>
    <x v="48"/>
  </r>
  <r>
    <s v="GMF-18638-786"/>
    <x v="329"/>
    <s v="60004-62976-NI"/>
    <s v="L-D-0.5"/>
    <n v="6"/>
    <s v="Gregorius Kislingbury"/>
    <s v="gkislingburyaz@samsung.com"/>
    <x v="0"/>
    <s v="Washington"/>
    <x v="4"/>
    <x v="3"/>
    <x v="4"/>
    <x v="40"/>
    <x v="45"/>
    <x v="48"/>
  </r>
  <r>
    <s v="TDJ-20844-787"/>
    <x v="330"/>
    <s v="77876-28498-HI"/>
    <s v="A-L-0.5"/>
    <n v="5"/>
    <s v="Xenos Gibbons"/>
    <s v="xgibbonsb0@artisteer.com"/>
    <x v="0"/>
    <s v="San Bernardino"/>
    <x v="4"/>
    <x v="3"/>
    <x v="4"/>
    <x v="40"/>
    <x v="45"/>
    <x v="48"/>
  </r>
  <r>
    <s v="BWK-39400-446"/>
    <x v="331"/>
    <s v="61302-06948-EH"/>
    <s v="L-D-0.5"/>
    <n v="4"/>
    <s v="Fleur Parres"/>
    <s v="fparresb1@imageshack.us"/>
    <x v="0"/>
    <s v="Rochester"/>
    <x v="4"/>
    <x v="3"/>
    <x v="4"/>
    <x v="40"/>
    <x v="45"/>
    <x v="48"/>
  </r>
  <r>
    <s v="LCB-02099-995"/>
    <x v="332"/>
    <s v="06757-96251-UH"/>
    <s v="A-D-0.2"/>
    <n v="6"/>
    <s v="Gran Sibray"/>
    <s v="gsibrayb2@wsj.com"/>
    <x v="0"/>
    <s v="Vancouver"/>
    <x v="4"/>
    <x v="3"/>
    <x v="4"/>
    <x v="40"/>
    <x v="45"/>
    <x v="48"/>
  </r>
  <r>
    <s v="UBA-43678-174"/>
    <x v="333"/>
    <s v="44530-75983-OD"/>
    <s v="E-D-2.5"/>
    <n v="6"/>
    <s v="Ingelbert Hotchkin"/>
    <s v="ihotchkinb3@mit.edu"/>
    <x v="2"/>
    <s v="Preston"/>
    <x v="4"/>
    <x v="3"/>
    <x v="4"/>
    <x v="40"/>
    <x v="45"/>
    <x v="48"/>
  </r>
  <r>
    <s v="UDH-24280-432"/>
    <x v="334"/>
    <s v="44865-58249-RY"/>
    <s v="L-L-1"/>
    <n v="4"/>
    <s v="Neely Broadberrie"/>
    <s v="nbroadberrieb4@gnu.org"/>
    <x v="0"/>
    <s v="Washington"/>
    <x v="4"/>
    <x v="3"/>
    <x v="4"/>
    <x v="40"/>
    <x v="45"/>
    <x v="48"/>
  </r>
  <r>
    <s v="IDQ-20193-502"/>
    <x v="335"/>
    <s v="36021-61205-DF"/>
    <s v="L-M-0.2"/>
    <n v="2"/>
    <s v="Rutger Pithcock"/>
    <s v="rpithcockb5@yellowbook.com"/>
    <x v="0"/>
    <s v="Knoxville"/>
    <x v="4"/>
    <x v="3"/>
    <x v="4"/>
    <x v="40"/>
    <x v="45"/>
    <x v="48"/>
  </r>
  <r>
    <s v="DJG-14442-608"/>
    <x v="336"/>
    <s v="75716-12782-SS"/>
    <s v="R-D-1"/>
    <n v="3"/>
    <s v="Gale Croysdale"/>
    <s v="gcroysdaleb6@nih.gov"/>
    <x v="0"/>
    <s v="Charleston"/>
    <x v="4"/>
    <x v="3"/>
    <x v="4"/>
    <x v="40"/>
    <x v="45"/>
    <x v="48"/>
  </r>
  <r>
    <s v="DWB-61381-370"/>
    <x v="337"/>
    <s v="11812-00461-KH"/>
    <s v="L-L-0.2"/>
    <n v="2"/>
    <s v="Benedetto Gozzett"/>
    <s v="bgozzettb7@github.com"/>
    <x v="0"/>
    <s v="Dallas"/>
    <x v="4"/>
    <x v="3"/>
    <x v="4"/>
    <x v="40"/>
    <x v="45"/>
    <x v="48"/>
  </r>
  <r>
    <s v="FRD-17347-990"/>
    <x v="80"/>
    <s v="46681-78850-ZW"/>
    <s v="A-D-1"/>
    <n v="4"/>
    <s v="Tania Craggs"/>
    <s v="tcraggsb8@house.gov"/>
    <x v="1"/>
    <s v="Whitegate"/>
    <x v="4"/>
    <x v="3"/>
    <x v="4"/>
    <x v="40"/>
    <x v="45"/>
    <x v="48"/>
  </r>
  <r>
    <s v="YPP-27450-525"/>
    <x v="338"/>
    <s v="01932-87052-KO"/>
    <s v="E-M-0.5"/>
    <n v="3"/>
    <s v="Leonie Cullrford"/>
    <s v="lcullrfordb9@xing.com"/>
    <x v="0"/>
    <s v="Chico"/>
    <x v="4"/>
    <x v="3"/>
    <x v="4"/>
    <x v="40"/>
    <x v="45"/>
    <x v="48"/>
  </r>
  <r>
    <s v="EFC-39577-424"/>
    <x v="339"/>
    <s v="16046-34805-ZF"/>
    <s v="E-M-1"/>
    <n v="5"/>
    <s v="Auguste Rizon"/>
    <s v="arizonba@xing.com"/>
    <x v="0"/>
    <s v="Little Rock"/>
    <x v="4"/>
    <x v="3"/>
    <x v="4"/>
    <x v="40"/>
    <x v="45"/>
    <x v="48"/>
  </r>
  <r>
    <s v="LAW-80062-016"/>
    <x v="340"/>
    <s v="34546-70516-LR"/>
    <s v="E-M-0.5"/>
    <n v="6"/>
    <s v="Lorin Guerrazzi"/>
    <n v="0"/>
    <x v="1"/>
    <s v="Balrothery"/>
    <x v="4"/>
    <x v="3"/>
    <x v="4"/>
    <x v="40"/>
    <x v="45"/>
    <x v="48"/>
  </r>
  <r>
    <s v="WKL-27981-758"/>
    <x v="177"/>
    <s v="73699-93557-FZ"/>
    <s v="A-M-2.5"/>
    <n v="2"/>
    <s v="Felice Miell"/>
    <s v="fmiellbc@spiegel.de"/>
    <x v="0"/>
    <s v="New Brunswick"/>
    <x v="4"/>
    <x v="3"/>
    <x v="4"/>
    <x v="40"/>
    <x v="45"/>
    <x v="48"/>
  </r>
  <r>
    <s v="VRT-39834-265"/>
    <x v="341"/>
    <s v="86686-37462-CK"/>
    <s v="L-L-1"/>
    <n v="3"/>
    <s v="Hamish Skeech"/>
    <n v="0"/>
    <x v="1"/>
    <s v="Valleymount"/>
    <x v="4"/>
    <x v="3"/>
    <x v="4"/>
    <x v="40"/>
    <x v="45"/>
    <x v="48"/>
  </r>
  <r>
    <s v="QTC-71005-730"/>
    <x v="342"/>
    <s v="14298-02150-KH"/>
    <s v="A-L-0.2"/>
    <n v="4"/>
    <s v="Giordano Lorenzin"/>
    <n v="0"/>
    <x v="0"/>
    <s v="San Francisco"/>
    <x v="4"/>
    <x v="3"/>
    <x v="4"/>
    <x v="40"/>
    <x v="45"/>
    <x v="48"/>
  </r>
  <r>
    <s v="TNX-09857-717"/>
    <x v="343"/>
    <s v="48675-07824-HJ"/>
    <s v="L-M-1"/>
    <n v="6"/>
    <s v="Harwilll Bishell"/>
    <n v="0"/>
    <x v="0"/>
    <s v="Lafayette"/>
    <x v="4"/>
    <x v="3"/>
    <x v="4"/>
    <x v="40"/>
    <x v="45"/>
    <x v="48"/>
  </r>
  <r>
    <s v="JZV-43874-185"/>
    <x v="344"/>
    <s v="18551-80943-YQ"/>
    <s v="A-M-1"/>
    <n v="5"/>
    <s v="Freeland Missenden"/>
    <n v="0"/>
    <x v="0"/>
    <s v="San Diego"/>
    <x v="4"/>
    <x v="3"/>
    <x v="4"/>
    <x v="40"/>
    <x v="45"/>
    <x v="48"/>
  </r>
  <r>
    <s v="ICF-17486-106"/>
    <x v="47"/>
    <s v="19196-09748-DB"/>
    <s v="L-L-2.5"/>
    <n v="1"/>
    <s v="Waylan Springall"/>
    <s v="wspringallbh@jugem.jp"/>
    <x v="0"/>
    <s v="Alhambra"/>
    <x v="4"/>
    <x v="3"/>
    <x v="4"/>
    <x v="40"/>
    <x v="45"/>
    <x v="48"/>
  </r>
  <r>
    <s v="BMK-49520-383"/>
    <x v="345"/>
    <s v="72233-08665-IP"/>
    <s v="R-L-0.2"/>
    <n v="3"/>
    <s v="Kiri Avramow"/>
    <n v="0"/>
    <x v="0"/>
    <s v="Tyler"/>
    <x v="4"/>
    <x v="3"/>
    <x v="4"/>
    <x v="40"/>
    <x v="45"/>
    <x v="48"/>
  </r>
  <r>
    <s v="HTS-15020-632"/>
    <x v="169"/>
    <s v="53817-13148-RK"/>
    <s v="R-M-0.2"/>
    <n v="3"/>
    <s v="Gregg Hawkyens"/>
    <s v="ghawkyensbj@census.gov"/>
    <x v="0"/>
    <s v="Lafayette"/>
    <x v="4"/>
    <x v="3"/>
    <x v="4"/>
    <x v="40"/>
    <x v="45"/>
    <x v="48"/>
  </r>
  <r>
    <s v="YLE-18247-749"/>
    <x v="346"/>
    <s v="92227-49331-QR"/>
    <s v="A-L-0.5"/>
    <n v="3"/>
    <s v="Reggis Pracy"/>
    <n v="0"/>
    <x v="0"/>
    <s v="Dayton"/>
    <x v="4"/>
    <x v="3"/>
    <x v="4"/>
    <x v="40"/>
    <x v="45"/>
    <x v="48"/>
  </r>
  <r>
    <s v="KJJ-12573-591"/>
    <x v="347"/>
    <s v="12997-41076-FQ"/>
    <s v="A-L-2.5"/>
    <n v="1"/>
    <s v="Paula Denis"/>
    <n v="0"/>
    <x v="0"/>
    <s v="Phoenix"/>
    <x v="4"/>
    <x v="3"/>
    <x v="4"/>
    <x v="40"/>
    <x v="45"/>
    <x v="48"/>
  </r>
  <r>
    <s v="RGU-43561-950"/>
    <x v="348"/>
    <s v="44220-00348-MB"/>
    <s v="A-L-2.5"/>
    <n v="5"/>
    <s v="Broderick McGilvra"/>
    <s v="bmcgilvrabm@so-net.ne.jp"/>
    <x v="0"/>
    <s v="Sacramento"/>
    <x v="4"/>
    <x v="3"/>
    <x v="4"/>
    <x v="40"/>
    <x v="45"/>
    <x v="48"/>
  </r>
  <r>
    <s v="JSN-73975-443"/>
    <x v="349"/>
    <s v="93047-98331-DD"/>
    <s v="L-M-0.5"/>
    <n v="1"/>
    <s v="Annabella Danzey"/>
    <s v="adanzeybn@github.com"/>
    <x v="0"/>
    <s v="Lincoln"/>
    <x v="4"/>
    <x v="3"/>
    <x v="4"/>
    <x v="40"/>
    <x v="45"/>
    <x v="48"/>
  </r>
  <r>
    <s v="WNR-71736-993"/>
    <x v="350"/>
    <s v="16880-78077-FB"/>
    <s v="L-D-0.5"/>
    <n v="4"/>
    <s v="Anthia McKeller"/>
    <s v="amckellerbo@ning.com"/>
    <x v="0"/>
    <s v="Harrisburg"/>
    <x v="4"/>
    <x v="3"/>
    <x v="4"/>
    <x v="40"/>
    <x v="45"/>
    <x v="48"/>
  </r>
  <r>
    <s v="WNR-71736-993"/>
    <x v="350"/>
    <s v="16880-78077-FB"/>
    <s v="A-D-2.5"/>
    <n v="6"/>
    <s v="Faith Powley"/>
    <s v="fpowleybp@dyndns.org"/>
    <x v="0"/>
    <s v="New Orleans"/>
    <x v="4"/>
    <x v="3"/>
    <x v="4"/>
    <x v="40"/>
    <x v="45"/>
    <x v="48"/>
  </r>
  <r>
    <s v="HNI-91338-546"/>
    <x v="54"/>
    <s v="67285-75317-XI"/>
    <s v="A-D-0.5"/>
    <n v="5"/>
    <s v="Nevins Glowacz"/>
    <n v="0"/>
    <x v="0"/>
    <s v="Madison"/>
    <x v="4"/>
    <x v="3"/>
    <x v="4"/>
    <x v="40"/>
    <x v="45"/>
    <x v="48"/>
  </r>
  <r>
    <s v="CYH-53243-218"/>
    <x v="237"/>
    <s v="88167-57964-PH"/>
    <s v="R-M-0.5"/>
    <n v="3"/>
    <s v="Adelice Isabell"/>
    <n v="0"/>
    <x v="0"/>
    <s v="Charleston"/>
    <x v="4"/>
    <x v="3"/>
    <x v="4"/>
    <x v="40"/>
    <x v="45"/>
    <x v="48"/>
  </r>
  <r>
    <s v="SVD-75407-177"/>
    <x v="351"/>
    <s v="16106-36039-QS"/>
    <s v="E-L-0.5"/>
    <n v="3"/>
    <s v="Yulma Dombrell"/>
    <s v="ydombrellbs@dedecms.com"/>
    <x v="0"/>
    <s v="Little Rock"/>
    <x v="4"/>
    <x v="3"/>
    <x v="4"/>
    <x v="40"/>
    <x v="45"/>
    <x v="48"/>
  </r>
  <r>
    <s v="NVN-66443-451"/>
    <x v="352"/>
    <s v="98921-82417-GN"/>
    <s v="R-D-1"/>
    <n v="2"/>
    <s v="Alric Darth"/>
    <s v="adarthbt@t.co"/>
    <x v="0"/>
    <s v="Anchorage"/>
    <x v="4"/>
    <x v="3"/>
    <x v="4"/>
    <x v="40"/>
    <x v="45"/>
    <x v="48"/>
  </r>
  <r>
    <s v="JUA-13580-095"/>
    <x v="102"/>
    <s v="55265-75151-AK"/>
    <s v="R-L-0.2"/>
    <n v="4"/>
    <s v="Manuel Darrigoe"/>
    <s v="mdarrigoebu@hud.gov"/>
    <x v="1"/>
    <s v="Longwood"/>
    <x v="4"/>
    <x v="3"/>
    <x v="4"/>
    <x v="40"/>
    <x v="45"/>
    <x v="48"/>
  </r>
  <r>
    <s v="ACY-56225-839"/>
    <x v="353"/>
    <s v="47386-50743-FG"/>
    <s v="A-M-2.5"/>
    <n v="3"/>
    <s v="Kynthia Berick"/>
    <n v="0"/>
    <x v="0"/>
    <s v="San Francisco"/>
    <x v="4"/>
    <x v="3"/>
    <x v="4"/>
    <x v="40"/>
    <x v="45"/>
    <x v="48"/>
  </r>
  <r>
    <s v="QBB-07903-622"/>
    <x v="354"/>
    <s v="32622-54551-UC"/>
    <s v="R-L-1"/>
    <n v="5"/>
    <s v="Minetta Ackrill"/>
    <s v="mackrillbw@bandcamp.com"/>
    <x v="0"/>
    <s v="Warren"/>
    <x v="4"/>
    <x v="3"/>
    <x v="4"/>
    <x v="40"/>
    <x v="45"/>
    <x v="48"/>
  </r>
  <r>
    <s v="JLJ-81802-619"/>
    <x v="135"/>
    <s v="16880-78077-FB"/>
    <s v="A-L-1"/>
    <n v="6"/>
    <s v="Maximo Bricksey"/>
    <s v="mbrickseybx@youku.com"/>
    <x v="0"/>
    <s v="Chesapeake"/>
    <x v="4"/>
    <x v="3"/>
    <x v="4"/>
    <x v="40"/>
    <x v="45"/>
    <x v="48"/>
  </r>
  <r>
    <s v="HFT-77191-168"/>
    <x v="343"/>
    <s v="48419-02347-XP"/>
    <s v="R-D-0.2"/>
    <n v="2"/>
    <s v="Melosa Kippen"/>
    <s v="mkippenby@dion.ne.jp"/>
    <x v="0"/>
    <s v="Jackson"/>
    <x v="4"/>
    <x v="3"/>
    <x v="4"/>
    <x v="40"/>
    <x v="45"/>
    <x v="48"/>
  </r>
  <r>
    <s v="SZR-35951-530"/>
    <x v="89"/>
    <s v="14121-20527-OJ"/>
    <s v="E-D-2.5"/>
    <n v="3"/>
    <s v="Witty Ranson"/>
    <s v="wransonbz@ted.com"/>
    <x v="1"/>
    <s v="Kildare"/>
    <x v="4"/>
    <x v="3"/>
    <x v="4"/>
    <x v="40"/>
    <x v="45"/>
    <x v="48"/>
  </r>
  <r>
    <s v="IKL-95976-565"/>
    <x v="355"/>
    <s v="53486-73919-BQ"/>
    <s v="A-M-1"/>
    <n v="2"/>
    <s v="Rod Gowdie"/>
    <n v="0"/>
    <x v="0"/>
    <s v="Milwaukee"/>
    <x v="4"/>
    <x v="3"/>
    <x v="4"/>
    <x v="40"/>
    <x v="45"/>
    <x v="48"/>
  </r>
  <r>
    <s v="XEY-48929-474"/>
    <x v="204"/>
    <s v="21889-94615-WT"/>
    <s v="L-M-2.5"/>
    <n v="6"/>
    <s v="Lemuel Rignold"/>
    <s v="lrignoldc1@miibeian.gov.cn"/>
    <x v="0"/>
    <s v="Sacramento"/>
    <x v="4"/>
    <x v="3"/>
    <x v="4"/>
    <x v="40"/>
    <x v="45"/>
    <x v="48"/>
  </r>
  <r>
    <s v="SQT-07286-736"/>
    <x v="356"/>
    <s v="87726-16941-QW"/>
    <s v="A-M-1"/>
    <n v="6"/>
    <s v="Nevsa Fields"/>
    <n v="0"/>
    <x v="0"/>
    <s v="Boston"/>
    <x v="4"/>
    <x v="3"/>
    <x v="4"/>
    <x v="40"/>
    <x v="45"/>
    <x v="48"/>
  </r>
  <r>
    <s v="QDU-45390-361"/>
    <x v="357"/>
    <s v="03677-09134-BC"/>
    <s v="E-M-0.5"/>
    <n v="1"/>
    <s v="Chance Rowthorn"/>
    <s v="crowthornc3@msn.com"/>
    <x v="0"/>
    <s v="Topeka"/>
    <x v="4"/>
    <x v="3"/>
    <x v="4"/>
    <x v="40"/>
    <x v="45"/>
    <x v="48"/>
  </r>
  <r>
    <s v="RUJ-30649-712"/>
    <x v="300"/>
    <s v="93224-71517-WV"/>
    <s v="L-L-0.2"/>
    <n v="2"/>
    <s v="Orly Ryland"/>
    <s v="orylandc4@deviantart.com"/>
    <x v="0"/>
    <s v="Fargo"/>
    <x v="4"/>
    <x v="3"/>
    <x v="4"/>
    <x v="40"/>
    <x v="45"/>
    <x v="48"/>
  </r>
  <r>
    <s v="WSV-49732-075"/>
    <x v="358"/>
    <s v="76263-95145-GJ"/>
    <s v="L-D-2.5"/>
    <n v="1"/>
    <s v="Willabella Abramski"/>
    <n v="0"/>
    <x v="0"/>
    <s v="Houston"/>
    <x v="4"/>
    <x v="3"/>
    <x v="4"/>
    <x v="40"/>
    <x v="45"/>
    <x v="48"/>
  </r>
  <r>
    <s v="VJF-46305-323"/>
    <x v="161"/>
    <s v="68555-89840-GZ"/>
    <s v="L-D-0.5"/>
    <n v="2"/>
    <s v="Brandy Lottrington"/>
    <s v="blottringtonc6@redcross.org"/>
    <x v="0"/>
    <s v="Oklahoma City"/>
    <x v="4"/>
    <x v="3"/>
    <x v="4"/>
    <x v="40"/>
    <x v="45"/>
    <x v="48"/>
  </r>
  <r>
    <s v="CXD-74176-600"/>
    <x v="129"/>
    <s v="70624-19112-AO"/>
    <s v="E-L-0.5"/>
    <n v="4"/>
    <s v="Chickie Ragless"/>
    <s v="craglessc7@webmd.com"/>
    <x v="1"/>
    <s v="Caherconlish"/>
    <x v="4"/>
    <x v="3"/>
    <x v="4"/>
    <x v="40"/>
    <x v="45"/>
    <x v="48"/>
  </r>
  <r>
    <s v="ADX-50674-975"/>
    <x v="359"/>
    <s v="58916-61837-QH"/>
    <s v="A-M-2.5"/>
    <n v="4"/>
    <s v="Freda Hollows"/>
    <s v="fhollowsc8@blogtalkradio.com"/>
    <x v="0"/>
    <s v="Buffalo"/>
    <x v="4"/>
    <x v="3"/>
    <x v="4"/>
    <x v="40"/>
    <x v="45"/>
    <x v="48"/>
  </r>
  <r>
    <s v="RRP-51647-420"/>
    <x v="360"/>
    <s v="89292-52335-YZ"/>
    <s v="E-D-1"/>
    <n v="3"/>
    <s v="Livy Lathleiff"/>
    <s v="llathleiffc9@nationalgeographic.com"/>
    <x v="1"/>
    <s v="Shankill"/>
    <x v="4"/>
    <x v="3"/>
    <x v="4"/>
    <x v="40"/>
    <x v="45"/>
    <x v="48"/>
  </r>
  <r>
    <s v="PKJ-99134-523"/>
    <x v="361"/>
    <s v="77284-34297-YY"/>
    <s v="R-L-0.5"/>
    <n v="5"/>
    <s v="Koralle Heads"/>
    <s v="kheadsca@jalbum.net"/>
    <x v="0"/>
    <s v="Bethlehem"/>
    <x v="4"/>
    <x v="3"/>
    <x v="4"/>
    <x v="40"/>
    <x v="45"/>
    <x v="48"/>
  </r>
  <r>
    <s v="FZQ-29439-457"/>
    <x v="362"/>
    <s v="50449-80974-BZ"/>
    <s v="E-L-0.2"/>
    <n v="5"/>
    <s v="Theo Bowne"/>
    <s v="tbownecb@unicef.org"/>
    <x v="1"/>
    <s v="Watergrasshill"/>
    <x v="4"/>
    <x v="3"/>
    <x v="4"/>
    <x v="40"/>
    <x v="45"/>
    <x v="48"/>
  </r>
  <r>
    <s v="USN-68115-161"/>
    <x v="363"/>
    <s v="08120-16183-AW"/>
    <s v="E-M-0.2"/>
    <n v="6"/>
    <s v="Rasia Jacquemard"/>
    <s v="rjacquemardcc@acquirethisname.com"/>
    <x v="1"/>
    <s v="Monasterevin"/>
    <x v="4"/>
    <x v="3"/>
    <x v="4"/>
    <x v="40"/>
    <x v="45"/>
    <x v="48"/>
  </r>
  <r>
    <s v="IXU-20263-532"/>
    <x v="364"/>
    <s v="68044-89277-ML"/>
    <s v="L-M-2.5"/>
    <n v="2"/>
    <s v="Kizzie Warman"/>
    <s v="kwarmancd@printfriendly.com"/>
    <x v="1"/>
    <s v="Sandyford"/>
    <x v="4"/>
    <x v="3"/>
    <x v="4"/>
    <x v="40"/>
    <x v="45"/>
    <x v="48"/>
  </r>
  <r>
    <s v="CBT-15092-420"/>
    <x v="85"/>
    <s v="71364-35210-HS"/>
    <s v="L-M-0.5"/>
    <n v="1"/>
    <s v="Wain Cholomin"/>
    <s v="wcholomince@about.com"/>
    <x v="2"/>
    <s v="Birmingham"/>
    <x v="4"/>
    <x v="3"/>
    <x v="4"/>
    <x v="40"/>
    <x v="45"/>
    <x v="48"/>
  </r>
  <r>
    <s v="PKQ-46841-696"/>
    <x v="365"/>
    <s v="37177-68797-ON"/>
    <s v="R-M-0.5"/>
    <n v="3"/>
    <s v="Arleen Braidman"/>
    <s v="abraidmancf@census.gov"/>
    <x v="0"/>
    <s v="Phoenix"/>
    <x v="4"/>
    <x v="3"/>
    <x v="4"/>
    <x v="40"/>
    <x v="45"/>
    <x v="48"/>
  </r>
  <r>
    <s v="XDU-05471-219"/>
    <x v="366"/>
    <s v="60308-06944-GS"/>
    <s v="R-L-0.5"/>
    <n v="1"/>
    <s v="Pru Durban"/>
    <s v="pdurbancg@symantec.com"/>
    <x v="1"/>
    <s v="Longford"/>
    <x v="4"/>
    <x v="3"/>
    <x v="4"/>
    <x v="40"/>
    <x v="45"/>
    <x v="48"/>
  </r>
  <r>
    <s v="NID-20149-329"/>
    <x v="367"/>
    <s v="49888-39458-PF"/>
    <s v="R-D-0.2"/>
    <n v="2"/>
    <s v="Antone Harrold"/>
    <s v="aharroldch@miibeian.gov.cn"/>
    <x v="0"/>
    <s v="Toledo"/>
    <x v="4"/>
    <x v="3"/>
    <x v="4"/>
    <x v="40"/>
    <x v="45"/>
    <x v="48"/>
  </r>
  <r>
    <s v="SVU-27222-213"/>
    <x v="142"/>
    <s v="60748-46813-DZ"/>
    <s v="L-L-0.2"/>
    <n v="5"/>
    <s v="Sim Pamphilon"/>
    <s v="spamphilonci@mlb.com"/>
    <x v="1"/>
    <s v="Ballylinan"/>
    <x v="4"/>
    <x v="3"/>
    <x v="4"/>
    <x v="40"/>
    <x v="45"/>
    <x v="48"/>
  </r>
  <r>
    <s v="RWI-84131-848"/>
    <x v="368"/>
    <s v="16385-11286-NX"/>
    <s v="R-D-2.5"/>
    <n v="2"/>
    <s v="Mohandis Spurden"/>
    <s v="mspurdencj@exblog.jp"/>
    <x v="0"/>
    <s v="Charlotte"/>
    <x v="4"/>
    <x v="3"/>
    <x v="4"/>
    <x v="40"/>
    <x v="45"/>
    <x v="48"/>
  </r>
  <r>
    <s v="GUU-40666-525"/>
    <x v="31"/>
    <s v="68555-89840-GZ"/>
    <s v="A-L-0.2"/>
    <n v="3"/>
    <s v="Morgen Seson"/>
    <s v="msesonck@census.gov"/>
    <x v="0"/>
    <s v="Seattle"/>
    <x v="4"/>
    <x v="3"/>
    <x v="4"/>
    <x v="40"/>
    <x v="45"/>
    <x v="48"/>
  </r>
  <r>
    <s v="SCN-51395-066"/>
    <x v="369"/>
    <s v="72164-90254-EJ"/>
    <s v="L-L-0.5"/>
    <n v="4"/>
    <s v="Nalani Pirrone"/>
    <s v="npirronecl@weibo.com"/>
    <x v="0"/>
    <s v="Wilkes Barre"/>
    <x v="4"/>
    <x v="3"/>
    <x v="4"/>
    <x v="40"/>
    <x v="45"/>
    <x v="48"/>
  </r>
  <r>
    <s v="ULA-24644-321"/>
    <x v="370"/>
    <s v="67010-92988-CT"/>
    <s v="R-D-2.5"/>
    <n v="4"/>
    <s v="Reube Cawley"/>
    <s v="rcawleycm@yellowbook.com"/>
    <x v="1"/>
    <s v="Ballyboden"/>
    <x v="4"/>
    <x v="3"/>
    <x v="4"/>
    <x v="40"/>
    <x v="45"/>
    <x v="48"/>
  </r>
  <r>
    <s v="EOL-92666-762"/>
    <x v="371"/>
    <s v="15776-91507-GT"/>
    <s v="L-L-0.2"/>
    <n v="2"/>
    <s v="Stan Barribal"/>
    <s v="sbarribalcn@microsoft.com"/>
    <x v="1"/>
    <s v="Bagenalstown"/>
    <x v="4"/>
    <x v="3"/>
    <x v="4"/>
    <x v="40"/>
    <x v="45"/>
    <x v="48"/>
  </r>
  <r>
    <s v="AJV-18231-334"/>
    <x v="372"/>
    <s v="23473-41001-CD"/>
    <s v="R-D-2.5"/>
    <n v="2"/>
    <s v="Agnes Adamides"/>
    <s v="aadamidesco@bizjournals.com"/>
    <x v="2"/>
    <s v="Liverpool"/>
    <x v="4"/>
    <x v="3"/>
    <x v="4"/>
    <x v="40"/>
    <x v="45"/>
    <x v="48"/>
  </r>
  <r>
    <s v="ZQI-47236-301"/>
    <x v="373"/>
    <s v="23446-47798-ID"/>
    <s v="L-L-0.5"/>
    <n v="5"/>
    <s v="Carmelita Thowes"/>
    <s v="cthowescp@craigslist.org"/>
    <x v="0"/>
    <s v="Rochester"/>
    <x v="4"/>
    <x v="3"/>
    <x v="4"/>
    <x v="40"/>
    <x v="45"/>
    <x v="48"/>
  </r>
  <r>
    <s v="ZCR-15721-658"/>
    <x v="374"/>
    <s v="28327-84469-ND"/>
    <s v="A-M-1"/>
    <n v="4"/>
    <s v="Rodolfo Willoway"/>
    <s v="rwillowaycq@admin.ch"/>
    <x v="0"/>
    <s v="Tucson"/>
    <x v="4"/>
    <x v="3"/>
    <x v="4"/>
    <x v="40"/>
    <x v="45"/>
    <x v="48"/>
  </r>
  <r>
    <s v="QEW-47945-682"/>
    <x v="319"/>
    <s v="42466-87067-DT"/>
    <s v="L-L-0.2"/>
    <n v="5"/>
    <s v="Alvis Elwin"/>
    <s v="aelwincr@privacy.gov.au"/>
    <x v="0"/>
    <s v="Minneapolis"/>
    <x v="4"/>
    <x v="3"/>
    <x v="4"/>
    <x v="40"/>
    <x v="45"/>
    <x v="48"/>
  </r>
  <r>
    <s v="PSY-45485-542"/>
    <x v="375"/>
    <s v="62246-99443-HF"/>
    <s v="R-D-0.5"/>
    <n v="3"/>
    <s v="Araldo Bilbrook"/>
    <s v="abilbrookcs@booking.com"/>
    <x v="1"/>
    <s v="Ashbourne"/>
    <x v="4"/>
    <x v="3"/>
    <x v="4"/>
    <x v="40"/>
    <x v="45"/>
    <x v="48"/>
  </r>
  <r>
    <s v="BAQ-74241-156"/>
    <x v="376"/>
    <s v="99869-55718-UU"/>
    <s v="R-D-0.2"/>
    <n v="4"/>
    <s v="Ransell McKall"/>
    <s v="rmckallct@sakura.ne.jp"/>
    <x v="2"/>
    <s v="Bristol"/>
    <x v="4"/>
    <x v="3"/>
    <x v="4"/>
    <x v="40"/>
    <x v="45"/>
    <x v="48"/>
  </r>
  <r>
    <s v="BVU-77367-451"/>
    <x v="377"/>
    <s v="77421-46059-RY"/>
    <s v="A-D-1"/>
    <n v="5"/>
    <s v="Borg Daile"/>
    <s v="bdailecu@vistaprint.com"/>
    <x v="0"/>
    <s v="Atlanta"/>
    <x v="4"/>
    <x v="3"/>
    <x v="4"/>
    <x v="40"/>
    <x v="45"/>
    <x v="48"/>
  </r>
  <r>
    <s v="TJE-91516-344"/>
    <x v="378"/>
    <s v="49894-06550-OQ"/>
    <s v="E-M-1"/>
    <n v="2"/>
    <s v="Adolphe Treherne"/>
    <s v="atrehernecv@state.tx.us"/>
    <x v="1"/>
    <s v="Farranacoush"/>
    <x v="4"/>
    <x v="3"/>
    <x v="4"/>
    <x v="40"/>
    <x v="45"/>
    <x v="48"/>
  </r>
  <r>
    <s v="LIS-96202-702"/>
    <x v="277"/>
    <s v="72028-63343-SU"/>
    <s v="L-D-2.5"/>
    <n v="4"/>
    <s v="Annetta Brentnall"/>
    <s v="abrentnallcw@biglobe.ne.jp"/>
    <x v="2"/>
    <s v="East End"/>
    <x v="4"/>
    <x v="3"/>
    <x v="4"/>
    <x v="40"/>
    <x v="45"/>
    <x v="48"/>
  </r>
  <r>
    <s v="VIO-27668-766"/>
    <x v="379"/>
    <s v="10074-20104-NN"/>
    <s v="R-D-2.5"/>
    <n v="1"/>
    <s v="Dick Drinkall"/>
    <s v="ddrinkallcx@psu.edu"/>
    <x v="0"/>
    <s v="Knoxville"/>
    <x v="4"/>
    <x v="3"/>
    <x v="4"/>
    <x v="40"/>
    <x v="45"/>
    <x v="48"/>
  </r>
  <r>
    <s v="ZVG-20473-043"/>
    <x v="86"/>
    <s v="71769-10219-IM"/>
    <s v="A-D-0.2"/>
    <n v="3"/>
    <s v="Dagny Kornel"/>
    <s v="dkornelcy@cyberchimps.com"/>
    <x v="0"/>
    <s v="Saginaw"/>
    <x v="4"/>
    <x v="3"/>
    <x v="4"/>
    <x v="40"/>
    <x v="45"/>
    <x v="48"/>
  </r>
  <r>
    <s v="KGZ-56395-231"/>
    <x v="380"/>
    <s v="22221-71106-JD"/>
    <s v="A-D-0.5"/>
    <n v="1"/>
    <s v="Rhona Lequeux"/>
    <s v="rlequeuxcz@newyorker.com"/>
    <x v="0"/>
    <s v="Saint Augustine"/>
    <x v="4"/>
    <x v="3"/>
    <x v="4"/>
    <x v="40"/>
    <x v="45"/>
    <x v="48"/>
  </r>
  <r>
    <s v="CUU-92244-729"/>
    <x v="381"/>
    <s v="99735-44927-OL"/>
    <s v="E-M-1"/>
    <n v="3"/>
    <s v="Julius Mccaull"/>
    <s v="jmccaulld0@parallels.com"/>
    <x v="0"/>
    <s v="San Rafael"/>
    <x v="4"/>
    <x v="3"/>
    <x v="4"/>
    <x v="40"/>
    <x v="45"/>
    <x v="48"/>
  </r>
  <r>
    <s v="EHE-94714-312"/>
    <x v="382"/>
    <s v="27132-68907-RC"/>
    <s v="E-L-0.2"/>
    <n v="5"/>
    <s v="Jolyn Dymoke"/>
    <s v="jdymoked1@mapquest.com"/>
    <x v="0"/>
    <s v="San Jose"/>
    <x v="4"/>
    <x v="3"/>
    <x v="4"/>
    <x v="40"/>
    <x v="45"/>
    <x v="48"/>
  </r>
  <r>
    <s v="RTL-16205-161"/>
    <x v="11"/>
    <s v="90440-62727-HI"/>
    <s v="A-M-0.5"/>
    <n v="1"/>
    <s v="Alberto Hutchinson"/>
    <s v="ahutchinsond2@imgur.com"/>
    <x v="0"/>
    <s v="Lawrenceville"/>
    <x v="4"/>
    <x v="3"/>
    <x v="4"/>
    <x v="40"/>
    <x v="45"/>
    <x v="48"/>
  </r>
  <r>
    <s v="GTS-22482-014"/>
    <x v="167"/>
    <s v="36769-16558-SX"/>
    <s v="L-M-2.5"/>
    <n v="4"/>
    <s v="Lamond Gheeraert"/>
    <n v="0"/>
    <x v="0"/>
    <s v="Topeka"/>
    <x v="4"/>
    <x v="3"/>
    <x v="4"/>
    <x v="40"/>
    <x v="45"/>
    <x v="48"/>
  </r>
  <r>
    <s v="DYG-25473-881"/>
    <x v="383"/>
    <s v="10138-31681-SD"/>
    <s v="A-D-0.2"/>
    <n v="2"/>
    <s v="Roxine Drivers"/>
    <s v="rdriversd4@hexun.com"/>
    <x v="0"/>
    <s v="Shawnee Mission"/>
    <x v="4"/>
    <x v="3"/>
    <x v="4"/>
    <x v="40"/>
    <x v="45"/>
    <x v="48"/>
  </r>
  <r>
    <s v="HTR-21838-286"/>
    <x v="18"/>
    <s v="24669-76297-SF"/>
    <s v="A-L-1"/>
    <n v="2"/>
    <s v="Heloise Zeal"/>
    <s v="hzeald5@google.de"/>
    <x v="0"/>
    <s v="Seattle"/>
    <x v="4"/>
    <x v="3"/>
    <x v="4"/>
    <x v="40"/>
    <x v="45"/>
    <x v="48"/>
  </r>
  <r>
    <s v="KYG-28296-920"/>
    <x v="84"/>
    <s v="78050-20355-DI"/>
    <s v="E-M-2.5"/>
    <n v="1"/>
    <s v="Granger Smallcombe"/>
    <s v="gsmallcombed6@ucla.edu"/>
    <x v="1"/>
    <s v="Kilkenny"/>
    <x v="4"/>
    <x v="3"/>
    <x v="4"/>
    <x v="40"/>
    <x v="45"/>
    <x v="48"/>
  </r>
  <r>
    <s v="NNB-20459-430"/>
    <x v="384"/>
    <s v="79825-17822-UH"/>
    <s v="L-M-0.2"/>
    <n v="2"/>
    <s v="Daryn Dibley"/>
    <s v="ddibleyd7@feedburner.com"/>
    <x v="0"/>
    <s v="Kissimmee"/>
    <x v="4"/>
    <x v="3"/>
    <x v="4"/>
    <x v="40"/>
    <x v="45"/>
    <x v="48"/>
  </r>
  <r>
    <s v="FEK-14025-351"/>
    <x v="385"/>
    <s v="03990-21586-MQ"/>
    <s v="E-L-0.2"/>
    <n v="6"/>
    <s v="Gardy Dimitriou"/>
    <s v="gdimitrioud8@chronoengine.com"/>
    <x v="0"/>
    <s v="Rochester"/>
    <x v="4"/>
    <x v="3"/>
    <x v="4"/>
    <x v="40"/>
    <x v="45"/>
    <x v="48"/>
  </r>
  <r>
    <s v="AWH-16980-469"/>
    <x v="386"/>
    <s v="27493-46921-TZ"/>
    <s v="L-M-0.2"/>
    <n v="6"/>
    <s v="Fanny Flanagan"/>
    <s v="fflanagand9@woothemes.com"/>
    <x v="0"/>
    <s v="Tyler"/>
    <x v="4"/>
    <x v="3"/>
    <x v="4"/>
    <x v="40"/>
    <x v="45"/>
    <x v="48"/>
  </r>
  <r>
    <s v="ZPW-31329-741"/>
    <x v="387"/>
    <s v="27132-68907-RC"/>
    <s v="R-D-1"/>
    <n v="6"/>
    <s v="Ailey Brash"/>
    <s v="abrashda@plala.or.jp"/>
    <x v="0"/>
    <s v="Flushing"/>
    <x v="4"/>
    <x v="3"/>
    <x v="4"/>
    <x v="40"/>
    <x v="45"/>
    <x v="48"/>
  </r>
  <r>
    <s v="ZPW-31329-741"/>
    <x v="387"/>
    <s v="27132-68907-RC"/>
    <s v="E-M-2.5"/>
    <n v="4"/>
    <s v="Tatiana Thorn"/>
    <n v="0"/>
    <x v="0"/>
    <s v="Sterling"/>
    <x v="4"/>
    <x v="3"/>
    <x v="4"/>
    <x v="40"/>
    <x v="45"/>
    <x v="48"/>
  </r>
  <r>
    <s v="ZPW-31329-741"/>
    <x v="387"/>
    <s v="27132-68907-RC"/>
    <s v="E-M-0.2"/>
    <n v="1"/>
    <s v="Wendeline McInerney"/>
    <s v="wmcinerneydc@wordpress.com"/>
    <x v="0"/>
    <s v="Richmond"/>
    <x v="4"/>
    <x v="3"/>
    <x v="4"/>
    <x v="40"/>
    <x v="45"/>
    <x v="48"/>
  </r>
  <r>
    <s v="UBI-83843-396"/>
    <x v="388"/>
    <s v="58816-74064-TF"/>
    <s v="R-L-1"/>
    <n v="2"/>
    <s v="Nanny Izhakov"/>
    <s v="nizhakovdd@aol.com"/>
    <x v="2"/>
    <s v="Seaton"/>
    <x v="4"/>
    <x v="3"/>
    <x v="4"/>
    <x v="40"/>
    <x v="45"/>
    <x v="48"/>
  </r>
  <r>
    <s v="VID-40587-569"/>
    <x v="389"/>
    <s v="09818-59895-EH"/>
    <s v="E-D-2.5"/>
    <n v="5"/>
    <s v="Stanly Keets"/>
    <s v="skeetsde@answers.com"/>
    <x v="0"/>
    <s v="Alexandria"/>
    <x v="4"/>
    <x v="3"/>
    <x v="4"/>
    <x v="40"/>
    <x v="45"/>
    <x v="48"/>
  </r>
  <r>
    <s v="KBB-52530-416"/>
    <x v="229"/>
    <s v="06488-46303-IZ"/>
    <s v="L-D-2.5"/>
    <n v="2"/>
    <s v="Orion Dyott"/>
    <n v="0"/>
    <x v="0"/>
    <s v="Salt Lake City"/>
    <x v="4"/>
    <x v="3"/>
    <x v="4"/>
    <x v="40"/>
    <x v="45"/>
    <x v="48"/>
  </r>
  <r>
    <s v="ISJ-48676-420"/>
    <x v="390"/>
    <s v="93046-67561-AY"/>
    <s v="L-L-0.5"/>
    <n v="6"/>
    <s v="Keefer Cake"/>
    <s v="kcakedg@huffingtonpost.com"/>
    <x v="0"/>
    <s v="San Jose"/>
    <x v="4"/>
    <x v="3"/>
    <x v="4"/>
    <x v="40"/>
    <x v="45"/>
    <x v="48"/>
  </r>
  <r>
    <s v="MIF-17920-768"/>
    <x v="391"/>
    <s v="68946-40750-LK"/>
    <s v="R-L-0.2"/>
    <n v="6"/>
    <s v="Morna Hansed"/>
    <s v="mhanseddh@instagram.com"/>
    <x v="1"/>
    <s v="Tr谩 Mh贸r"/>
    <x v="4"/>
    <x v="3"/>
    <x v="4"/>
    <x v="40"/>
    <x v="45"/>
    <x v="48"/>
  </r>
  <r>
    <s v="CPX-19312-088"/>
    <x v="117"/>
    <s v="38387-64959-WW"/>
    <s v="L-M-0.5"/>
    <n v="6"/>
    <s v="Franny Kienlein"/>
    <s v="fkienleindi@trellian.com"/>
    <x v="1"/>
    <s v="Coolock"/>
    <x v="4"/>
    <x v="3"/>
    <x v="4"/>
    <x v="40"/>
    <x v="45"/>
    <x v="48"/>
  </r>
  <r>
    <s v="RXI-67978-260"/>
    <x v="392"/>
    <s v="48418-60841-CC"/>
    <s v="E-D-1"/>
    <n v="6"/>
    <s v="Klarika Egglestone"/>
    <s v="kegglestonedj@sphinn.com"/>
    <x v="1"/>
    <s v="Coolock"/>
    <x v="4"/>
    <x v="3"/>
    <x v="4"/>
    <x v="40"/>
    <x v="45"/>
    <x v="48"/>
  </r>
  <r>
    <s v="LKE-14821-285"/>
    <x v="393"/>
    <s v="13736-92418-JS"/>
    <s v="R-M-0.2"/>
    <n v="5"/>
    <s v="Becky Semkins"/>
    <s v="bsemkinsdk@unc.edu"/>
    <x v="1"/>
    <s v="Kinnegad"/>
    <x v="4"/>
    <x v="3"/>
    <x v="4"/>
    <x v="40"/>
    <x v="45"/>
    <x v="48"/>
  </r>
  <r>
    <s v="LRK-97117-150"/>
    <x v="394"/>
    <s v="33000-22405-LO"/>
    <s v="L-L-1"/>
    <n v="6"/>
    <s v="Sean Lorenzetti"/>
    <s v="slorenzettidl@is.gd"/>
    <x v="0"/>
    <s v="El Paso"/>
    <x v="4"/>
    <x v="3"/>
    <x v="4"/>
    <x v="40"/>
    <x v="45"/>
    <x v="48"/>
  </r>
  <r>
    <s v="IGK-51227-573"/>
    <x v="137"/>
    <s v="46959-60474-LT"/>
    <s v="L-D-0.5"/>
    <n v="2"/>
    <s v="Bob Giannazzi"/>
    <s v="bgiannazzidm@apple.com"/>
    <x v="0"/>
    <s v="Fort Lauderdale"/>
    <x v="4"/>
    <x v="3"/>
    <x v="4"/>
    <x v="40"/>
    <x v="45"/>
    <x v="48"/>
  </r>
  <r>
    <s v="ZAY-43009-775"/>
    <x v="395"/>
    <s v="73431-39823-UP"/>
    <s v="L-D-0.2"/>
    <n v="6"/>
    <s v="Kendra Backshell"/>
    <n v="0"/>
    <x v="0"/>
    <s v="Indianapolis"/>
    <x v="4"/>
    <x v="3"/>
    <x v="4"/>
    <x v="40"/>
    <x v="45"/>
    <x v="48"/>
  </r>
  <r>
    <s v="EMA-63190-618"/>
    <x v="396"/>
    <s v="90993-98984-JK"/>
    <s v="E-M-0.2"/>
    <n v="1"/>
    <s v="Uriah Lethbrig"/>
    <s v="ulethbrigdo@hc360.com"/>
    <x v="0"/>
    <s v="Milwaukee"/>
    <x v="4"/>
    <x v="3"/>
    <x v="4"/>
    <x v="40"/>
    <x v="45"/>
    <x v="48"/>
  </r>
  <r>
    <s v="FBI-35855-418"/>
    <x v="189"/>
    <s v="06552-04430-AG"/>
    <s v="R-M-0.5"/>
    <n v="6"/>
    <s v="Sky Farnish"/>
    <s v="sfarnishdp@dmoz.org"/>
    <x v="2"/>
    <s v="Eaton"/>
    <x v="4"/>
    <x v="3"/>
    <x v="4"/>
    <x v="40"/>
    <x v="45"/>
    <x v="48"/>
  </r>
  <r>
    <s v="TXB-80533-417"/>
    <x v="8"/>
    <s v="54597-57004-QM"/>
    <s v="L-L-1"/>
    <n v="2"/>
    <s v="Felicia Jecock"/>
    <s v="fjecockdq@unicef.org"/>
    <x v="0"/>
    <s v="Baton Rouge"/>
    <x v="4"/>
    <x v="3"/>
    <x v="4"/>
    <x v="40"/>
    <x v="45"/>
    <x v="48"/>
  </r>
  <r>
    <s v="MBM-00112-248"/>
    <x v="397"/>
    <s v="50238-24377-ZS"/>
    <s v="L-L-1"/>
    <n v="5"/>
    <s v="Currey MacAllister"/>
    <n v="0"/>
    <x v="0"/>
    <s v="Danbury"/>
    <x v="4"/>
    <x v="3"/>
    <x v="4"/>
    <x v="40"/>
    <x v="45"/>
    <x v="48"/>
  </r>
  <r>
    <s v="EUO-69145-988"/>
    <x v="398"/>
    <s v="60370-41934-IF"/>
    <s v="E-D-0.2"/>
    <n v="3"/>
    <s v="Hamlen Pallister"/>
    <s v="hpallisterds@ning.com"/>
    <x v="0"/>
    <s v="Pensacola"/>
    <x v="4"/>
    <x v="3"/>
    <x v="4"/>
    <x v="40"/>
    <x v="45"/>
    <x v="48"/>
  </r>
  <r>
    <s v="GYA-80327-368"/>
    <x v="399"/>
    <s v="06899-54551-EH"/>
    <s v="A-D-1"/>
    <n v="4"/>
    <s v="Chantal Mersh"/>
    <s v="cmershdt@drupal.org"/>
    <x v="1"/>
    <s v="Milltown"/>
    <x v="4"/>
    <x v="3"/>
    <x v="4"/>
    <x v="40"/>
    <x v="45"/>
    <x v="48"/>
  </r>
  <r>
    <s v="TNW-41601-420"/>
    <x v="400"/>
    <s v="66458-91190-YC"/>
    <s v="R-M-1"/>
    <n v="5"/>
    <s v="Brendin Bredee"/>
    <s v="bbredeedu@flickr.com"/>
    <x v="2"/>
    <s v="Norton"/>
    <x v="4"/>
    <x v="3"/>
    <x v="4"/>
    <x v="40"/>
    <x v="45"/>
    <x v="48"/>
  </r>
  <r>
    <s v="ALR-62963-723"/>
    <x v="401"/>
    <s v="80463-43913-WZ"/>
    <s v="R-D-0.2"/>
    <n v="3"/>
    <s v="Malynda Purbrick"/>
    <n v="0"/>
    <x v="1"/>
    <s v="Balally"/>
    <x v="4"/>
    <x v="3"/>
    <x v="4"/>
    <x v="40"/>
    <x v="45"/>
    <x v="48"/>
  </r>
  <r>
    <s v="JIG-27636-870"/>
    <x v="402"/>
    <s v="67204-04870-LG"/>
    <s v="R-L-1"/>
    <n v="4"/>
    <s v="Alf Housaman"/>
    <n v="0"/>
    <x v="0"/>
    <s v="Grand Rapids"/>
    <x v="4"/>
    <x v="3"/>
    <x v="4"/>
    <x v="40"/>
    <x v="45"/>
    <x v="48"/>
  </r>
  <r>
    <s v="CTE-31437-326"/>
    <x v="6"/>
    <s v="22721-63196-UJ"/>
    <s v="R-M-0.2"/>
    <n v="4"/>
    <s v="Gladi Ducker"/>
    <s v="gduckerdx@patch.com"/>
    <x v="2"/>
    <s v="Belfast"/>
    <x v="4"/>
    <x v="3"/>
    <x v="4"/>
    <x v="40"/>
    <x v="45"/>
    <x v="48"/>
  </r>
  <r>
    <s v="CTE-31437-326"/>
    <x v="6"/>
    <s v="22721-63196-UJ"/>
    <s v="E-M-0.2"/>
    <n v="4"/>
    <s v="Emelita Shearsby"/>
    <s v="eshearsbydy@g.co"/>
    <x v="0"/>
    <s v="Kansas City"/>
    <x v="4"/>
    <x v="3"/>
    <x v="4"/>
    <x v="40"/>
    <x v="45"/>
    <x v="48"/>
  </r>
  <r>
    <s v="CTE-31437-326"/>
    <x v="6"/>
    <s v="22721-63196-UJ"/>
    <s v="L-D-1"/>
    <n v="4"/>
    <s v="Berte Gaddes"/>
    <n v="0"/>
    <x v="0"/>
    <s v="Elmira"/>
    <x v="4"/>
    <x v="3"/>
    <x v="4"/>
    <x v="40"/>
    <x v="45"/>
    <x v="48"/>
  </r>
  <r>
    <s v="CTE-31437-326"/>
    <x v="6"/>
    <s v="22721-63196-UJ"/>
    <s v="L-L-0.2"/>
    <n v="3"/>
    <s v="Nadia Erswell"/>
    <s v="nerswelle0@mlb.com"/>
    <x v="0"/>
    <s v="Milwaukee"/>
    <x v="4"/>
    <x v="3"/>
    <x v="4"/>
    <x v="40"/>
    <x v="45"/>
    <x v="48"/>
  </r>
  <r>
    <s v="SLD-63003-334"/>
    <x v="403"/>
    <s v="55515-37571-RS"/>
    <s v="L-M-0.2"/>
    <n v="6"/>
    <s v="Wain Stearley"/>
    <s v="wstearleye1@census.gov"/>
    <x v="0"/>
    <s v="High Point"/>
    <x v="4"/>
    <x v="3"/>
    <x v="4"/>
    <x v="40"/>
    <x v="45"/>
    <x v="48"/>
  </r>
  <r>
    <s v="BXN-64230-789"/>
    <x v="404"/>
    <s v="25598-77476-CB"/>
    <s v="A-L-1"/>
    <n v="2"/>
    <s v="Diane-marie Wincer"/>
    <s v="dwincere2@marriott.com"/>
    <x v="0"/>
    <s v="El Paso"/>
    <x v="4"/>
    <x v="3"/>
    <x v="4"/>
    <x v="40"/>
    <x v="45"/>
    <x v="48"/>
  </r>
  <r>
    <s v="XEE-37895-169"/>
    <x v="21"/>
    <s v="14888-85625-TM"/>
    <s v="A-L-2.5"/>
    <n v="3"/>
    <s v="Perry Lyfield"/>
    <s v="plyfielde3@baidu.com"/>
    <x v="0"/>
    <s v="Cleveland"/>
    <x v="4"/>
    <x v="3"/>
    <x v="4"/>
    <x v="40"/>
    <x v="45"/>
    <x v="48"/>
  </r>
  <r>
    <s v="ZTX-80764-911"/>
    <x v="239"/>
    <s v="92793-68332-NR"/>
    <s v="L-D-0.5"/>
    <n v="6"/>
    <s v="Heall Perris"/>
    <s v="hperrise4@studiopress.com"/>
    <x v="1"/>
    <s v="Ballymahon"/>
    <x v="4"/>
    <x v="3"/>
    <x v="4"/>
    <x v="40"/>
    <x v="45"/>
    <x v="48"/>
  </r>
  <r>
    <s v="WVT-88135-549"/>
    <x v="405"/>
    <s v="66458-91190-YC"/>
    <s v="A-D-1"/>
    <n v="3"/>
    <s v="Marja Urion"/>
    <s v="murione5@alexa.com"/>
    <x v="1"/>
    <s v="Virginia"/>
    <x v="4"/>
    <x v="3"/>
    <x v="4"/>
    <x v="40"/>
    <x v="45"/>
    <x v="48"/>
  </r>
  <r>
    <s v="IPA-94170-889"/>
    <x v="292"/>
    <s v="64439-27325-LG"/>
    <s v="R-L-0.2"/>
    <n v="3"/>
    <s v="Camellia Kid"/>
    <s v="ckide6@narod.ru"/>
    <x v="1"/>
    <s v="Whitegate"/>
    <x v="4"/>
    <x v="3"/>
    <x v="4"/>
    <x v="40"/>
    <x v="45"/>
    <x v="48"/>
  </r>
  <r>
    <s v="YQL-63755-365"/>
    <x v="117"/>
    <s v="78570-76770-LB"/>
    <s v="A-M-0.2"/>
    <n v="4"/>
    <s v="Carolann Beine"/>
    <s v="cbeinee7@xinhuanet.com"/>
    <x v="0"/>
    <s v="Birmingham"/>
    <x v="4"/>
    <x v="3"/>
    <x v="4"/>
    <x v="40"/>
    <x v="45"/>
    <x v="48"/>
  </r>
  <r>
    <s v="RKW-81145-984"/>
    <x v="406"/>
    <s v="98661-69719-VI"/>
    <s v="L-L-1"/>
    <n v="3"/>
    <s v="Celia Bakeup"/>
    <s v="cbakeupe8@globo.com"/>
    <x v="0"/>
    <s v="Saint Cloud"/>
    <x v="4"/>
    <x v="3"/>
    <x v="4"/>
    <x v="40"/>
    <x v="45"/>
    <x v="48"/>
  </r>
  <r>
    <s v="MBT-23379-866"/>
    <x v="407"/>
    <s v="82990-92703-IX"/>
    <s v="L-L-1"/>
    <n v="5"/>
    <s v="Nataniel Helkin"/>
    <s v="nhelkine9@example.com"/>
    <x v="0"/>
    <s v="Philadelphia"/>
    <x v="4"/>
    <x v="3"/>
    <x v="4"/>
    <x v="40"/>
    <x v="45"/>
    <x v="48"/>
  </r>
  <r>
    <s v="GEJ-39834-935"/>
    <x v="408"/>
    <s v="49412-86877-VY"/>
    <s v="L-M-0.2"/>
    <n v="6"/>
    <s v="Pippo Witherington"/>
    <s v="pwitheringtonea@networkadvertising.org"/>
    <x v="0"/>
    <s v="Detroit"/>
    <x v="4"/>
    <x v="3"/>
    <x v="4"/>
    <x v="40"/>
    <x v="45"/>
    <x v="48"/>
  </r>
  <r>
    <s v="KRW-91640-596"/>
    <x v="409"/>
    <s v="70879-00984-FJ"/>
    <s v="R-L-0.5"/>
    <n v="3"/>
    <s v="Tildie Tilzey"/>
    <s v="ttilzeyeb@hostgator.com"/>
    <x v="0"/>
    <s v="Saint Louis"/>
    <x v="4"/>
    <x v="3"/>
    <x v="4"/>
    <x v="40"/>
    <x v="45"/>
    <x v="48"/>
  </r>
  <r>
    <s v="AOT-70449-651"/>
    <x v="410"/>
    <s v="53414-73391-CR"/>
    <s v="R-D-2.5"/>
    <n v="5"/>
    <s v="Cindra Burling"/>
    <n v="0"/>
    <x v="0"/>
    <s v="Schenectady"/>
    <x v="4"/>
    <x v="3"/>
    <x v="4"/>
    <x v="40"/>
    <x v="45"/>
    <x v="48"/>
  </r>
  <r>
    <s v="DGC-21813-731"/>
    <x v="127"/>
    <s v="43606-83072-OA"/>
    <s v="L-D-0.2"/>
    <n v="2"/>
    <s v="Channa Belamy"/>
    <n v="0"/>
    <x v="0"/>
    <s v="Lakeland"/>
    <x v="4"/>
    <x v="3"/>
    <x v="4"/>
    <x v="40"/>
    <x v="45"/>
    <x v="48"/>
  </r>
  <r>
    <s v="JBE-92943-643"/>
    <x v="411"/>
    <s v="84466-22864-CE"/>
    <s v="E-D-2.5"/>
    <n v="5"/>
    <s v="Karl Imorts"/>
    <s v="kimortsee@alexa.com"/>
    <x v="0"/>
    <s v="Melbourne"/>
    <x v="4"/>
    <x v="3"/>
    <x v="4"/>
    <x v="40"/>
    <x v="45"/>
    <x v="48"/>
  </r>
  <r>
    <s v="ZIL-34948-499"/>
    <x v="112"/>
    <s v="66458-91190-YC"/>
    <s v="A-D-0.5"/>
    <n v="2"/>
    <s v="Philippine Starte"/>
    <s v="pstarteef@accuweather.com"/>
    <x v="0"/>
    <s v="Houston"/>
    <x v="4"/>
    <x v="3"/>
    <x v="4"/>
    <x v="40"/>
    <x v="45"/>
    <x v="48"/>
  </r>
  <r>
    <s v="JSU-23781-256"/>
    <x v="412"/>
    <s v="76499-89100-JQ"/>
    <s v="L-D-0.2"/>
    <n v="1"/>
    <s v="Mag Armistead"/>
    <s v="marmisteadeg@blogtalkradio.com"/>
    <x v="0"/>
    <s v="New Orleans"/>
    <x v="4"/>
    <x v="3"/>
    <x v="4"/>
    <x v="40"/>
    <x v="45"/>
    <x v="48"/>
  </r>
  <r>
    <s v="JSU-23781-256"/>
    <x v="412"/>
    <s v="76499-89100-JQ"/>
    <s v="R-M-1"/>
    <n v="4"/>
    <s v="Janela Lemerle"/>
    <s v="jlemerleeh@ustream.tv"/>
    <x v="0"/>
    <s v="Oklahoma City"/>
    <x v="4"/>
    <x v="3"/>
    <x v="4"/>
    <x v="40"/>
    <x v="45"/>
    <x v="48"/>
  </r>
  <r>
    <s v="VPX-44956-367"/>
    <x v="413"/>
    <s v="39582-35773-ZJ"/>
    <s v="R-M-0.5"/>
    <n v="5"/>
    <s v="Vasili Upstone"/>
    <s v="vupstoneei@google.pl"/>
    <x v="0"/>
    <s v="Topeka"/>
    <x v="4"/>
    <x v="3"/>
    <x v="4"/>
    <x v="40"/>
    <x v="45"/>
    <x v="48"/>
  </r>
  <r>
    <s v="VTB-46451-959"/>
    <x v="414"/>
    <s v="66240-46962-IO"/>
    <s v="L-D-2.5"/>
    <n v="1"/>
    <s v="Berty Beelby"/>
    <s v="bbeelbyej@rediff.com"/>
    <x v="1"/>
    <s v="Lucan"/>
    <x v="4"/>
    <x v="3"/>
    <x v="4"/>
    <x v="40"/>
    <x v="45"/>
    <x v="48"/>
  </r>
  <r>
    <s v="DNZ-11665-950"/>
    <x v="415"/>
    <s v="10637-45522-ID"/>
    <s v="L-L-2.5"/>
    <n v="2"/>
    <s v="Erny Stenyng"/>
    <n v="0"/>
    <x v="0"/>
    <s v="Springfield"/>
    <x v="4"/>
    <x v="3"/>
    <x v="4"/>
    <x v="40"/>
    <x v="45"/>
    <x v="48"/>
  </r>
  <r>
    <s v="ITR-54735-364"/>
    <x v="416"/>
    <s v="92599-58687-CS"/>
    <s v="R-D-0.2"/>
    <n v="5"/>
    <s v="Edin Yantsurev"/>
    <n v="0"/>
    <x v="0"/>
    <s v="Camden"/>
    <x v="4"/>
    <x v="3"/>
    <x v="4"/>
    <x v="40"/>
    <x v="45"/>
    <x v="48"/>
  </r>
  <r>
    <s v="YDS-02797-307"/>
    <x v="417"/>
    <s v="06058-48844-PI"/>
    <s v="E-M-2.5"/>
    <n v="4"/>
    <s v="Webb Speechly"/>
    <s v="wspeechlyem@amazon.com"/>
    <x v="0"/>
    <s v="Seattle"/>
    <x v="4"/>
    <x v="3"/>
    <x v="4"/>
    <x v="40"/>
    <x v="45"/>
    <x v="48"/>
  </r>
  <r>
    <s v="BPG-68988-842"/>
    <x v="418"/>
    <s v="53631-24432-SY"/>
    <s v="E-M-0.5"/>
    <n v="5"/>
    <s v="Irvine Phillpot"/>
    <s v="iphillpoten@buzzfeed.com"/>
    <x v="2"/>
    <s v="Wootton"/>
    <x v="4"/>
    <x v="3"/>
    <x v="4"/>
    <x v="40"/>
    <x v="45"/>
    <x v="48"/>
  </r>
  <r>
    <s v="XZG-51938-658"/>
    <x v="419"/>
    <s v="18275-73980-KL"/>
    <s v="E-L-0.5"/>
    <n v="6"/>
    <s v="Lem Pennacci"/>
    <s v="lpennaccieo@statcounter.com"/>
    <x v="0"/>
    <s v="Waco"/>
    <x v="4"/>
    <x v="3"/>
    <x v="4"/>
    <x v="40"/>
    <x v="45"/>
    <x v="48"/>
  </r>
  <r>
    <s v="KAR-24978-271"/>
    <x v="420"/>
    <s v="23187-65750-HZ"/>
    <s v="R-M-1"/>
    <n v="6"/>
    <s v="Starr Arpin"/>
    <s v="sarpinep@moonfruit.com"/>
    <x v="0"/>
    <s v="Richmond"/>
    <x v="4"/>
    <x v="3"/>
    <x v="4"/>
    <x v="40"/>
    <x v="45"/>
    <x v="48"/>
  </r>
  <r>
    <s v="FQK-28730-361"/>
    <x v="421"/>
    <s v="22725-79522-GP"/>
    <s v="R-M-1"/>
    <n v="6"/>
    <s v="Donny Fries"/>
    <s v="dfrieseq@cargocollective.com"/>
    <x v="0"/>
    <s v="Toledo"/>
    <x v="4"/>
    <x v="3"/>
    <x v="4"/>
    <x v="40"/>
    <x v="45"/>
    <x v="48"/>
  </r>
  <r>
    <s v="BGB-67996-089"/>
    <x v="422"/>
    <s v="06279-72603-JE"/>
    <s v="R-D-1"/>
    <n v="5"/>
    <s v="Rana Sharer"/>
    <s v="rsharerer@flavors.me"/>
    <x v="0"/>
    <s v="Huntington"/>
    <x v="4"/>
    <x v="3"/>
    <x v="4"/>
    <x v="40"/>
    <x v="45"/>
    <x v="48"/>
  </r>
  <r>
    <s v="XMC-20620-809"/>
    <x v="423"/>
    <s v="83543-79246-ON"/>
    <s v="E-M-0.5"/>
    <n v="2"/>
    <s v="Nannie Naseby"/>
    <s v="nnasebyes@umich.edu"/>
    <x v="0"/>
    <s v="Winter Haven"/>
    <x v="4"/>
    <x v="3"/>
    <x v="4"/>
    <x v="40"/>
    <x v="45"/>
    <x v="48"/>
  </r>
  <r>
    <s v="ZSO-58292-191"/>
    <x v="109"/>
    <s v="66794-66795-VW"/>
    <s v="R-D-0.5"/>
    <n v="4"/>
    <s v="Rea Offell"/>
    <n v="0"/>
    <x v="0"/>
    <s v="Dallas"/>
    <x v="4"/>
    <x v="3"/>
    <x v="4"/>
    <x v="40"/>
    <x v="45"/>
    <x v="48"/>
  </r>
  <r>
    <s v="LWJ-06793-303"/>
    <x v="204"/>
    <s v="95424-67020-AP"/>
    <s v="R-M-2.5"/>
    <n v="2"/>
    <s v="Kris O'Cullen"/>
    <s v="koculleneu@ca.gov"/>
    <x v="1"/>
    <s v="Adare"/>
    <x v="4"/>
    <x v="3"/>
    <x v="4"/>
    <x v="40"/>
    <x v="45"/>
    <x v="48"/>
  </r>
  <r>
    <s v="FLM-82229-989"/>
    <x v="424"/>
    <s v="73017-69644-MS"/>
    <s v="L-L-0.2"/>
    <n v="2"/>
    <s v="Timoteo Glisane"/>
    <n v="0"/>
    <x v="1"/>
    <s v="Ballivor"/>
    <x v="4"/>
    <x v="3"/>
    <x v="4"/>
    <x v="40"/>
    <x v="45"/>
    <x v="48"/>
  </r>
  <r>
    <s v="CPV-90280-133"/>
    <x v="13"/>
    <s v="66458-91190-YC"/>
    <s v="R-D-0.2"/>
    <n v="3"/>
    <s v="Wyatan Cokly"/>
    <s v="wcoklyew@acquirethisname.com"/>
    <x v="0"/>
    <s v="Columbus"/>
    <x v="4"/>
    <x v="3"/>
    <x v="4"/>
    <x v="40"/>
    <x v="45"/>
    <x v="48"/>
  </r>
  <r>
    <s v="OGW-60685-912"/>
    <x v="224"/>
    <s v="67423-10113-LM"/>
    <s v="E-D-2.5"/>
    <n v="4"/>
    <s v="Hildegarde Brangan"/>
    <s v="hbranganex@woothemes.com"/>
    <x v="0"/>
    <s v="Evansville"/>
    <x v="4"/>
    <x v="3"/>
    <x v="4"/>
    <x v="40"/>
    <x v="45"/>
    <x v="48"/>
  </r>
  <r>
    <s v="DEC-11160-362"/>
    <x v="220"/>
    <s v="48582-05061-RY"/>
    <s v="R-D-0.2"/>
    <n v="4"/>
    <s v="Amii Gallyon"/>
    <s v="agallyoney@engadget.com"/>
    <x v="0"/>
    <s v="Naperville"/>
    <x v="4"/>
    <x v="3"/>
    <x v="4"/>
    <x v="40"/>
    <x v="45"/>
    <x v="48"/>
  </r>
  <r>
    <s v="WCT-07869-499"/>
    <x v="91"/>
    <s v="32031-49093-KE"/>
    <s v="R-D-0.5"/>
    <n v="5"/>
    <s v="Birgit Domange"/>
    <s v="bdomangeez@yahoo.co.jp"/>
    <x v="0"/>
    <s v="Charleston"/>
    <x v="4"/>
    <x v="3"/>
    <x v="4"/>
    <x v="40"/>
    <x v="45"/>
    <x v="48"/>
  </r>
  <r>
    <s v="FHD-89872-325"/>
    <x v="425"/>
    <s v="31715-98714-OO"/>
    <s v="L-L-1"/>
    <n v="4"/>
    <s v="Killian Osler"/>
    <s v="koslerf0@gmpg.org"/>
    <x v="0"/>
    <s v="Lansing"/>
    <x v="4"/>
    <x v="3"/>
    <x v="4"/>
    <x v="40"/>
    <x v="45"/>
    <x v="48"/>
  </r>
  <r>
    <s v="AZF-45991-584"/>
    <x v="426"/>
    <s v="73759-17258-KA"/>
    <s v="A-D-2.5"/>
    <n v="1"/>
    <s v="Lora Dukes"/>
    <n v="0"/>
    <x v="1"/>
    <s v="Boyle"/>
    <x v="4"/>
    <x v="3"/>
    <x v="4"/>
    <x v="40"/>
    <x v="45"/>
    <x v="48"/>
  </r>
  <r>
    <s v="MDG-14481-513"/>
    <x v="427"/>
    <s v="64897-79178-MH"/>
    <s v="A-M-2.5"/>
    <n v="4"/>
    <s v="Zack Pellett"/>
    <s v="zpellettf2@dailymotion.com"/>
    <x v="0"/>
    <s v="Shreveport"/>
    <x v="4"/>
    <x v="3"/>
    <x v="4"/>
    <x v="40"/>
    <x v="45"/>
    <x v="48"/>
  </r>
  <r>
    <s v="OFN-49424-848"/>
    <x v="428"/>
    <s v="73346-85564-JB"/>
    <s v="R-L-2.5"/>
    <n v="2"/>
    <s v="Ilaire Sprakes"/>
    <s v="isprakesf3@spiegel.de"/>
    <x v="0"/>
    <s v="San Jose"/>
    <x v="4"/>
    <x v="3"/>
    <x v="4"/>
    <x v="40"/>
    <x v="45"/>
    <x v="48"/>
  </r>
  <r>
    <s v="NFA-03411-746"/>
    <x v="383"/>
    <s v="07476-13102-NJ"/>
    <s v="A-L-0.5"/>
    <n v="2"/>
    <s v="Heda Fromant"/>
    <s v="hfromantf4@ucsd.edu"/>
    <x v="0"/>
    <s v="Philadelphia"/>
    <x v="4"/>
    <x v="3"/>
    <x v="4"/>
    <x v="40"/>
    <x v="45"/>
    <x v="48"/>
  </r>
  <r>
    <s v="CYM-74988-450"/>
    <x v="156"/>
    <s v="87223-37422-SK"/>
    <s v="L-D-0.2"/>
    <n v="4"/>
    <s v="Rufus Flear"/>
    <s v="rflearf5@artisteer.com"/>
    <x v="2"/>
    <s v="Sheffield"/>
    <x v="4"/>
    <x v="3"/>
    <x v="4"/>
    <x v="40"/>
    <x v="45"/>
    <x v="48"/>
  </r>
  <r>
    <s v="WTV-24996-658"/>
    <x v="429"/>
    <s v="57837-15577-YK"/>
    <s v="E-D-2.5"/>
    <n v="3"/>
    <s v="Dom Milella"/>
    <n v="0"/>
    <x v="1"/>
    <s v="Manorhamilton"/>
    <x v="4"/>
    <x v="3"/>
    <x v="4"/>
    <x v="40"/>
    <x v="45"/>
    <x v="48"/>
  </r>
  <r>
    <s v="DSL-69915-544"/>
    <x v="103"/>
    <s v="10142-55267-YO"/>
    <s v="R-L-0.2"/>
    <n v="3"/>
    <s v="Almire MacAless"/>
    <n v="0"/>
    <x v="0"/>
    <s v="Baltimore"/>
    <x v="4"/>
    <x v="3"/>
    <x v="4"/>
    <x v="40"/>
    <x v="45"/>
    <x v="48"/>
  </r>
  <r>
    <s v="NBT-35757-542"/>
    <x v="361"/>
    <s v="73647-66148-VM"/>
    <s v="E-L-0.2"/>
    <n v="3"/>
    <s v="Bette-ann Munden"/>
    <s v="bmundenf8@elpais.com"/>
    <x v="0"/>
    <s v="Oklahoma City"/>
    <x v="4"/>
    <x v="3"/>
    <x v="4"/>
    <x v="40"/>
    <x v="45"/>
    <x v="48"/>
  </r>
  <r>
    <s v="OYU-25085-528"/>
    <x v="120"/>
    <s v="10142-55267-YO"/>
    <s v="E-L-0.2"/>
    <n v="4"/>
    <s v="Wilek Lightollers"/>
    <s v="wlightollersf9@baidu.com"/>
    <x v="0"/>
    <s v="New York City"/>
    <x v="4"/>
    <x v="3"/>
    <x v="4"/>
    <x v="40"/>
    <x v="45"/>
    <x v="48"/>
  </r>
  <r>
    <s v="XCG-07109-195"/>
    <x v="430"/>
    <s v="92976-19453-DT"/>
    <s v="L-D-0.2"/>
    <n v="6"/>
    <s v="Nick Brakespear"/>
    <s v="nbrakespearfa@rediff.com"/>
    <x v="0"/>
    <s v="Newark"/>
    <x v="4"/>
    <x v="3"/>
    <x v="4"/>
    <x v="40"/>
    <x v="45"/>
    <x v="48"/>
  </r>
  <r>
    <s v="YZA-25234-630"/>
    <x v="125"/>
    <s v="89757-51438-HX"/>
    <s v="E-D-0.2"/>
    <n v="2"/>
    <s v="Malynda Glawsop"/>
    <s v="mglawsopfb@reverbnation.com"/>
    <x v="0"/>
    <s v="New Haven"/>
    <x v="4"/>
    <x v="3"/>
    <x v="4"/>
    <x v="40"/>
    <x v="45"/>
    <x v="48"/>
  </r>
  <r>
    <s v="OKU-29966-417"/>
    <x v="431"/>
    <s v="76192-13390-HZ"/>
    <s v="E-L-0.2"/>
    <n v="4"/>
    <s v="Granville Alberts"/>
    <s v="galbertsfc@etsy.com"/>
    <x v="2"/>
    <s v="Belfast"/>
    <x v="4"/>
    <x v="3"/>
    <x v="4"/>
    <x v="40"/>
    <x v="45"/>
    <x v="48"/>
  </r>
  <r>
    <s v="MEX-29350-659"/>
    <x v="40"/>
    <s v="02009-87294-SY"/>
    <s v="E-M-1"/>
    <n v="5"/>
    <s v="Vasily Polglase"/>
    <s v="vpolglasefd@about.me"/>
    <x v="0"/>
    <s v="Toledo"/>
    <x v="4"/>
    <x v="3"/>
    <x v="4"/>
    <x v="40"/>
    <x v="45"/>
    <x v="48"/>
  </r>
  <r>
    <s v="NOY-99738-977"/>
    <x v="432"/>
    <s v="82872-34456-LJ"/>
    <s v="R-L-2.5"/>
    <n v="2"/>
    <s v="Madelaine Sharples"/>
    <n v="0"/>
    <x v="2"/>
    <s v="Newton"/>
    <x v="4"/>
    <x v="3"/>
    <x v="4"/>
    <x v="40"/>
    <x v="45"/>
    <x v="48"/>
  </r>
  <r>
    <s v="TCR-01064-030"/>
    <x v="254"/>
    <s v="13181-04387-LI"/>
    <s v="E-M-1"/>
    <n v="6"/>
    <s v="Sigfrid Busch"/>
    <s v="sbuschff@so-net.ne.jp"/>
    <x v="1"/>
    <s v="Bantry"/>
    <x v="4"/>
    <x v="3"/>
    <x v="4"/>
    <x v="40"/>
    <x v="45"/>
    <x v="48"/>
  </r>
  <r>
    <s v="YUL-42750-776"/>
    <x v="219"/>
    <s v="24845-36117-TI"/>
    <s v="L-M-0.2"/>
    <n v="2"/>
    <s v="Cissiee Raisbeck"/>
    <s v="craisbeckfg@webnode.com"/>
    <x v="0"/>
    <s v="Shreveport"/>
    <x v="4"/>
    <x v="3"/>
    <x v="4"/>
    <x v="40"/>
    <x v="45"/>
    <x v="48"/>
  </r>
  <r>
    <s v="XQJ-86887-506"/>
    <x v="433"/>
    <s v="66458-91190-YC"/>
    <s v="E-L-1"/>
    <n v="4"/>
    <s v="Leslie Laughton"/>
    <n v="0"/>
    <x v="0"/>
    <s v="Orlando"/>
    <x v="4"/>
    <x v="3"/>
    <x v="4"/>
    <x v="40"/>
    <x v="45"/>
    <x v="48"/>
  </r>
  <r>
    <s v="CUN-90044-279"/>
    <x v="434"/>
    <s v="86646-65810-TD"/>
    <s v="L-D-0.2"/>
    <n v="4"/>
    <s v="Kenton Wetherick"/>
    <n v="0"/>
    <x v="0"/>
    <s v="Lexington"/>
    <x v="4"/>
    <x v="3"/>
    <x v="4"/>
    <x v="40"/>
    <x v="45"/>
    <x v="48"/>
  </r>
  <r>
    <s v="ICC-73030-502"/>
    <x v="435"/>
    <s v="59480-02795-IU"/>
    <s v="A-L-1"/>
    <n v="3"/>
    <s v="Reamonn Aynold"/>
    <s v="raynoldfj@ustream.tv"/>
    <x v="0"/>
    <s v="Milwaukee"/>
    <x v="4"/>
    <x v="3"/>
    <x v="4"/>
    <x v="40"/>
    <x v="45"/>
    <x v="48"/>
  </r>
  <r>
    <s v="ADP-04506-084"/>
    <x v="436"/>
    <s v="61809-87758-LJ"/>
    <s v="E-M-2.5"/>
    <n v="6"/>
    <s v="Hatty Dovydenas"/>
    <n v="0"/>
    <x v="0"/>
    <s v="Amarillo"/>
    <x v="4"/>
    <x v="3"/>
    <x v="4"/>
    <x v="40"/>
    <x v="45"/>
    <x v="48"/>
  </r>
  <r>
    <s v="PNU-22150-408"/>
    <x v="437"/>
    <s v="77408-43873-RS"/>
    <s v="A-D-0.2"/>
    <n v="6"/>
    <s v="Nathaniel Bloxland"/>
    <n v="0"/>
    <x v="1"/>
    <s v="Daingean"/>
    <x v="4"/>
    <x v="3"/>
    <x v="4"/>
    <x v="40"/>
    <x v="45"/>
    <x v="48"/>
  </r>
  <r>
    <s v="VSQ-07182-513"/>
    <x v="438"/>
    <s v="18366-65239-WF"/>
    <s v="L-L-0.2"/>
    <n v="6"/>
    <s v="Brendan Grece"/>
    <s v="bgrecefm@naver.com"/>
    <x v="2"/>
    <s v="Halton"/>
    <x v="4"/>
    <x v="3"/>
    <x v="4"/>
    <x v="40"/>
    <x v="45"/>
    <x v="48"/>
  </r>
  <r>
    <s v="SPF-31673-217"/>
    <x v="439"/>
    <s v="19485-98072-PS"/>
    <s v="E-M-1"/>
    <n v="6"/>
    <s v="Steffie Maddrell"/>
    <s v="smaddrellfn@123-reg.co.uk"/>
    <x v="0"/>
    <s v="Atlanta"/>
    <x v="4"/>
    <x v="3"/>
    <x v="4"/>
    <x v="40"/>
    <x v="45"/>
    <x v="48"/>
  </r>
  <r>
    <s v="NEX-63825-598"/>
    <x v="175"/>
    <s v="72072-33025-SD"/>
    <s v="R-L-0.5"/>
    <n v="2"/>
    <s v="Abbe Thys"/>
    <s v="athysfo@cdc.gov"/>
    <x v="0"/>
    <s v="Knoxville"/>
    <x v="4"/>
    <x v="3"/>
    <x v="4"/>
    <x v="40"/>
    <x v="45"/>
    <x v="48"/>
  </r>
  <r>
    <s v="XPG-66112-335"/>
    <x v="440"/>
    <s v="58118-22461-GC"/>
    <s v="R-D-2.5"/>
    <n v="4"/>
    <s v="Jackquelin Chugg"/>
    <s v="jchuggfp@about.me"/>
    <x v="0"/>
    <s v="Shawnee Mission"/>
    <x v="4"/>
    <x v="3"/>
    <x v="4"/>
    <x v="40"/>
    <x v="45"/>
    <x v="48"/>
  </r>
  <r>
    <s v="NSQ-72210-345"/>
    <x v="441"/>
    <s v="90940-63327-DJ"/>
    <s v="A-M-0.2"/>
    <n v="6"/>
    <s v="Audra Kelston"/>
    <s v="akelstonfq@sakura.ne.jp"/>
    <x v="0"/>
    <s v="Fort Lauderdale"/>
    <x v="4"/>
    <x v="3"/>
    <x v="4"/>
    <x v="40"/>
    <x v="45"/>
    <x v="48"/>
  </r>
  <r>
    <s v="XRR-28376-277"/>
    <x v="442"/>
    <s v="64481-42546-II"/>
    <s v="R-L-2.5"/>
    <n v="6"/>
    <s v="Elvina Angel"/>
    <n v="0"/>
    <x v="1"/>
    <s v="Tralee"/>
    <x v="4"/>
    <x v="3"/>
    <x v="4"/>
    <x v="40"/>
    <x v="45"/>
    <x v="48"/>
  </r>
  <r>
    <s v="WHQ-25197-475"/>
    <x v="443"/>
    <s v="27536-28463-NJ"/>
    <s v="L-L-0.2"/>
    <n v="4"/>
    <s v="Claiborne Mottram"/>
    <s v="cmottramfs@harvard.edu"/>
    <x v="0"/>
    <s v="Austin"/>
    <x v="4"/>
    <x v="3"/>
    <x v="4"/>
    <x v="40"/>
    <x v="45"/>
    <x v="48"/>
  </r>
  <r>
    <s v="HMB-30634-745"/>
    <x v="216"/>
    <s v="19485-98072-PS"/>
    <s v="A-D-2.5"/>
    <n v="6"/>
    <s v="Dilly Marrison"/>
    <s v="dmarrisonft@geocities.jp"/>
    <x v="0"/>
    <s v="Cleveland"/>
    <x v="4"/>
    <x v="3"/>
    <x v="4"/>
    <x v="40"/>
    <x v="45"/>
    <x v="48"/>
  </r>
  <r>
    <s v="XTL-68000-371"/>
    <x v="444"/>
    <s v="70140-82812-KD"/>
    <s v="A-M-0.5"/>
    <n v="4"/>
    <s v="Donalt Sangwin"/>
    <s v="dsangwinfu@weebly.com"/>
    <x v="0"/>
    <s v="Hyattsville"/>
    <x v="4"/>
    <x v="3"/>
    <x v="4"/>
    <x v="40"/>
    <x v="45"/>
    <x v="48"/>
  </r>
  <r>
    <s v="YES-51109-625"/>
    <x v="37"/>
    <s v="91895-55605-LS"/>
    <s v="E-L-0.5"/>
    <n v="4"/>
    <s v="Elizabet Aizikowitz"/>
    <s v="eaizikowitzfv@virginia.edu"/>
    <x v="2"/>
    <s v="Ashley"/>
    <x v="4"/>
    <x v="3"/>
    <x v="4"/>
    <x v="40"/>
    <x v="45"/>
    <x v="48"/>
  </r>
  <r>
    <s v="EAY-89850-211"/>
    <x v="445"/>
    <s v="43155-71724-XP"/>
    <s v="A-D-0.2"/>
    <n v="2"/>
    <s v="Herbie Peppard"/>
    <n v="0"/>
    <x v="0"/>
    <s v="Pasadena"/>
    <x v="4"/>
    <x v="3"/>
    <x v="4"/>
    <x v="40"/>
    <x v="45"/>
    <x v="48"/>
  </r>
  <r>
    <s v="IOQ-84840-827"/>
    <x v="446"/>
    <s v="32038-81174-JF"/>
    <s v="A-M-1"/>
    <n v="6"/>
    <s v="Cornie Venour"/>
    <s v="cvenourfx@ask.com"/>
    <x v="0"/>
    <s v="Shreveport"/>
    <x v="4"/>
    <x v="3"/>
    <x v="4"/>
    <x v="40"/>
    <x v="45"/>
    <x v="48"/>
  </r>
  <r>
    <s v="FBD-56220-430"/>
    <x v="245"/>
    <s v="59205-20324-NB"/>
    <s v="R-L-0.2"/>
    <n v="6"/>
    <s v="Maggy Harby"/>
    <s v="mharbyfy@163.com"/>
    <x v="0"/>
    <s v="Pensacola"/>
    <x v="4"/>
    <x v="3"/>
    <x v="4"/>
    <x v="40"/>
    <x v="45"/>
    <x v="48"/>
  </r>
  <r>
    <s v="COV-52659-202"/>
    <x v="447"/>
    <s v="99899-54612-NX"/>
    <s v="L-M-2.5"/>
    <n v="2"/>
    <s v="Reggie Thickpenny"/>
    <s v="rthickpennyfz@cafepress.com"/>
    <x v="0"/>
    <s v="Los Angeles"/>
    <x v="4"/>
    <x v="3"/>
    <x v="4"/>
    <x v="40"/>
    <x v="45"/>
    <x v="48"/>
  </r>
  <r>
    <s v="YUO-76652-814"/>
    <x v="448"/>
    <s v="26248-84194-FI"/>
    <s v="A-D-0.2"/>
    <n v="6"/>
    <s v="Phyllys Ormerod"/>
    <s v="pormerodg0@redcross.org"/>
    <x v="0"/>
    <s v="Durham"/>
    <x v="4"/>
    <x v="3"/>
    <x v="4"/>
    <x v="40"/>
    <x v="45"/>
    <x v="48"/>
  </r>
  <r>
    <s v="PBT-36926-102"/>
    <x v="344"/>
    <s v="19485-98072-PS"/>
    <s v="L-M-1"/>
    <n v="4"/>
    <s v="Don Flintiff"/>
    <s v="dflintiffg1@e-recht24.de"/>
    <x v="2"/>
    <s v="London"/>
    <x v="4"/>
    <x v="3"/>
    <x v="4"/>
    <x v="40"/>
    <x v="45"/>
    <x v="48"/>
  </r>
  <r>
    <s v="BLV-60087-454"/>
    <x v="152"/>
    <s v="84493-71314-WX"/>
    <s v="E-L-0.2"/>
    <n v="3"/>
    <s v="Tymon Zanetti"/>
    <s v="tzanettig2@gravatar.com"/>
    <x v="1"/>
    <s v="Loughrea"/>
    <x v="4"/>
    <x v="3"/>
    <x v="4"/>
    <x v="40"/>
    <x v="45"/>
    <x v="48"/>
  </r>
  <r>
    <s v="BLV-60087-454"/>
    <x v="152"/>
    <s v="84493-71314-WX"/>
    <s v="A-M-0.5"/>
    <n v="5"/>
    <s v="Bili Follet"/>
    <s v="bfolletg3@a8.net"/>
    <x v="1"/>
    <s v="Daingean"/>
    <x v="4"/>
    <x v="3"/>
    <x v="4"/>
    <x v="40"/>
    <x v="45"/>
    <x v="48"/>
  </r>
  <r>
    <s v="QYC-63914-195"/>
    <x v="449"/>
    <s v="39789-43945-IV"/>
    <s v="E-L-1"/>
    <n v="3"/>
    <s v="Reinaldos Kirtley"/>
    <s v="rkirtleyg4@hatena.ne.jp"/>
    <x v="0"/>
    <s v="Whittier"/>
    <x v="4"/>
    <x v="3"/>
    <x v="4"/>
    <x v="40"/>
    <x v="45"/>
    <x v="48"/>
  </r>
  <r>
    <s v="OIB-77163-890"/>
    <x v="450"/>
    <s v="38972-89678-ZM"/>
    <s v="E-L-0.5"/>
    <n v="5"/>
    <s v="Carney Clemencet"/>
    <s v="cclemencetg5@weather.com"/>
    <x v="2"/>
    <s v="Birmingham"/>
    <x v="4"/>
    <x v="3"/>
    <x v="4"/>
    <x v="40"/>
    <x v="45"/>
    <x v="48"/>
  </r>
  <r>
    <s v="SGS-87525-238"/>
    <x v="451"/>
    <s v="91465-84526-IJ"/>
    <s v="E-D-1"/>
    <n v="5"/>
    <s v="Russell Donet"/>
    <s v="rdonetg6@oakley.com"/>
    <x v="0"/>
    <s v="Richmond"/>
    <x v="4"/>
    <x v="3"/>
    <x v="4"/>
    <x v="40"/>
    <x v="45"/>
    <x v="48"/>
  </r>
  <r>
    <s v="GQR-12490-152"/>
    <x v="83"/>
    <s v="22832-98538-RB"/>
    <s v="R-L-0.2"/>
    <n v="1"/>
    <s v="Sidney Gawen"/>
    <s v="sgaweng7@creativecommons.org"/>
    <x v="0"/>
    <s v="Sterling"/>
    <x v="4"/>
    <x v="3"/>
    <x v="4"/>
    <x v="40"/>
    <x v="45"/>
    <x v="48"/>
  </r>
  <r>
    <s v="UOJ-28238-299"/>
    <x v="452"/>
    <s v="30844-91890-ZA"/>
    <s v="R-L-0.2"/>
    <n v="6"/>
    <s v="Rickey Readie"/>
    <s v="rreadieg8@guardian.co.uk"/>
    <x v="0"/>
    <s v="Carson City"/>
    <x v="4"/>
    <x v="3"/>
    <x v="4"/>
    <x v="40"/>
    <x v="45"/>
    <x v="48"/>
  </r>
  <r>
    <s v="ETD-58130-674"/>
    <x v="453"/>
    <s v="05325-97750-WP"/>
    <s v="E-M-0.5"/>
    <n v="2"/>
    <s v="Conchita Dietzler"/>
    <s v="cdietzlerg9@goo.gl"/>
    <x v="1"/>
    <s v="Ashford"/>
    <x v="4"/>
    <x v="3"/>
    <x v="4"/>
    <x v="40"/>
    <x v="45"/>
    <x v="48"/>
  </r>
  <r>
    <s v="UPF-60123-025"/>
    <x v="454"/>
    <s v="88992-49081-AT"/>
    <s v="R-L-2.5"/>
    <n v="3"/>
    <s v="Zilvia Claisse"/>
    <n v="0"/>
    <x v="0"/>
    <s v="Saint Paul"/>
    <x v="4"/>
    <x v="3"/>
    <x v="4"/>
    <x v="40"/>
    <x v="45"/>
    <x v="48"/>
  </r>
  <r>
    <s v="NQS-01613-687"/>
    <x v="455"/>
    <s v="10204-31464-SA"/>
    <s v="L-D-0.5"/>
    <n v="1"/>
    <s v="Bar O' Mahony"/>
    <s v="bogb@elpais.com"/>
    <x v="0"/>
    <s v="Huntsville"/>
    <x v="4"/>
    <x v="3"/>
    <x v="4"/>
    <x v="40"/>
    <x v="45"/>
    <x v="48"/>
  </r>
  <r>
    <s v="MGH-36050-573"/>
    <x v="456"/>
    <s v="75156-80911-YT"/>
    <s v="R-M-0.5"/>
    <n v="2"/>
    <s v="Valenka Stansbury"/>
    <s v="vstansburygc@unblog.fr"/>
    <x v="0"/>
    <s v="El Paso"/>
    <x v="4"/>
    <x v="3"/>
    <x v="4"/>
    <x v="40"/>
    <x v="45"/>
    <x v="48"/>
  </r>
  <r>
    <s v="UVF-59322-459"/>
    <x v="373"/>
    <s v="53971-49906-PZ"/>
    <s v="E-L-2.5"/>
    <n v="6"/>
    <s v="Daniel Heinonen"/>
    <s v="dheinonengd@printfriendly.com"/>
    <x v="0"/>
    <s v="Decatur"/>
    <x v="4"/>
    <x v="3"/>
    <x v="4"/>
    <x v="40"/>
    <x v="45"/>
    <x v="48"/>
  </r>
  <r>
    <s v="VET-41158-896"/>
    <x v="457"/>
    <s v="10728-17633-ST"/>
    <s v="E-M-2.5"/>
    <n v="2"/>
    <s v="Jewelle Shenton"/>
    <s v="jshentonge@google.com.hk"/>
    <x v="0"/>
    <s v="Orange"/>
    <x v="4"/>
    <x v="3"/>
    <x v="4"/>
    <x v="40"/>
    <x v="45"/>
    <x v="48"/>
  </r>
  <r>
    <s v="XYL-52196-459"/>
    <x v="458"/>
    <s v="13549-65017-VE"/>
    <s v="R-D-0.2"/>
    <n v="3"/>
    <s v="Jennifer Wilkisson"/>
    <s v="jwilkissongf@nba.com"/>
    <x v="0"/>
    <s v="Huntington Beach"/>
    <x v="4"/>
    <x v="3"/>
    <x v="4"/>
    <x v="40"/>
    <x v="45"/>
    <x v="48"/>
  </r>
  <r>
    <s v="BPZ-51283-916"/>
    <x v="264"/>
    <s v="87688-42420-TO"/>
    <s v="A-M-2.5"/>
    <n v="2"/>
    <s v="Kylie Mowat"/>
    <n v="0"/>
    <x v="0"/>
    <s v="Milwaukee"/>
    <x v="4"/>
    <x v="3"/>
    <x v="4"/>
    <x v="40"/>
    <x v="45"/>
    <x v="48"/>
  </r>
  <r>
    <s v="VQW-91903-926"/>
    <x v="459"/>
    <s v="05325-97750-WP"/>
    <s v="E-D-2.5"/>
    <n v="1"/>
    <s v="Cody Verissimo"/>
    <s v="cverissimogh@theglobeandmail.com"/>
    <x v="2"/>
    <s v="Upton"/>
    <x v="4"/>
    <x v="3"/>
    <x v="4"/>
    <x v="40"/>
    <x v="45"/>
    <x v="48"/>
  </r>
  <r>
    <s v="OLF-77983-457"/>
    <x v="460"/>
    <s v="51901-35210-UI"/>
    <s v="A-L-2.5"/>
    <n v="2"/>
    <s v="Gabriel Starcks"/>
    <s v="gstarcksgi@abc.net.au"/>
    <x v="0"/>
    <s v="Chattanooga"/>
    <x v="4"/>
    <x v="3"/>
    <x v="4"/>
    <x v="40"/>
    <x v="45"/>
    <x v="48"/>
  </r>
  <r>
    <s v="MVI-04946-827"/>
    <x v="461"/>
    <s v="62483-50867-OM"/>
    <s v="E-L-1"/>
    <n v="1"/>
    <s v="Darby Dummer"/>
    <n v="0"/>
    <x v="2"/>
    <s v="Manchester"/>
    <x v="4"/>
    <x v="3"/>
    <x v="4"/>
    <x v="40"/>
    <x v="45"/>
    <x v="48"/>
  </r>
  <r>
    <s v="UOG-94188-104"/>
    <x v="219"/>
    <s v="92753-50029-SD"/>
    <s v="A-M-0.5"/>
    <n v="5"/>
    <s v="Kienan Scholard"/>
    <s v="kscholardgk@sbwire.com"/>
    <x v="0"/>
    <s v="Columbus"/>
    <x v="4"/>
    <x v="3"/>
    <x v="4"/>
    <x v="40"/>
    <x v="45"/>
    <x v="48"/>
  </r>
  <r>
    <s v="DSN-15872-519"/>
    <x v="462"/>
    <s v="53809-98498-SN"/>
    <s v="L-L-2.5"/>
    <n v="4"/>
    <s v="Bo Kindley"/>
    <s v="bkindleygl@wikimedia.org"/>
    <x v="0"/>
    <s v="Pasadena"/>
    <x v="4"/>
    <x v="3"/>
    <x v="4"/>
    <x v="40"/>
    <x v="45"/>
    <x v="48"/>
  </r>
  <r>
    <s v="OUQ-73954-002"/>
    <x v="463"/>
    <s v="66308-13503-KD"/>
    <s v="R-M-0.2"/>
    <n v="4"/>
    <s v="Krissie Hammett"/>
    <s v="khammettgm@dmoz.org"/>
    <x v="0"/>
    <s v="San Francisco"/>
    <x v="4"/>
    <x v="3"/>
    <x v="4"/>
    <x v="40"/>
    <x v="45"/>
    <x v="48"/>
  </r>
  <r>
    <s v="LGL-16843-667"/>
    <x v="464"/>
    <s v="82458-87830-JE"/>
    <s v="A-D-0.2"/>
    <n v="4"/>
    <s v="Alisha Hulburt"/>
    <s v="ahulburtgn@fda.gov"/>
    <x v="0"/>
    <s v="Shreveport"/>
    <x v="4"/>
    <x v="3"/>
    <x v="4"/>
    <x v="40"/>
    <x v="45"/>
    <x v="48"/>
  </r>
  <r>
    <s v="TCC-89722-031"/>
    <x v="465"/>
    <s v="41611-34336-WT"/>
    <s v="L-D-0.5"/>
    <n v="1"/>
    <s v="Peyter Lauritzen"/>
    <s v="plauritzengo@photobucket.com"/>
    <x v="0"/>
    <s v="Philadelphia"/>
    <x v="4"/>
    <x v="3"/>
    <x v="4"/>
    <x v="40"/>
    <x v="45"/>
    <x v="48"/>
  </r>
  <r>
    <s v="TRA-79507-007"/>
    <x v="466"/>
    <s v="70089-27418-UJ"/>
    <s v="R-L-2.5"/>
    <n v="4"/>
    <s v="Aurelia Burgwin"/>
    <s v="aburgwingp@redcross.org"/>
    <x v="0"/>
    <s v="Migrate"/>
    <x v="4"/>
    <x v="3"/>
    <x v="4"/>
    <x v="40"/>
    <x v="45"/>
    <x v="48"/>
  </r>
  <r>
    <s v="MZJ-77284-941"/>
    <x v="467"/>
    <s v="99978-56910-BN"/>
    <s v="E-L-0.2"/>
    <n v="5"/>
    <s v="Emalee Rolin"/>
    <s v="erolingq@google.fr"/>
    <x v="0"/>
    <s v="Toledo"/>
    <x v="4"/>
    <x v="3"/>
    <x v="4"/>
    <x v="40"/>
    <x v="45"/>
    <x v="48"/>
  </r>
  <r>
    <s v="AXN-57779-891"/>
    <x v="468"/>
    <s v="09668-23340-IC"/>
    <s v="R-M-0.2"/>
    <n v="3"/>
    <s v="Donavon Fowle"/>
    <s v="dfowlegr@epa.gov"/>
    <x v="0"/>
    <s v="Colorado Springs"/>
    <x v="4"/>
    <x v="3"/>
    <x v="4"/>
    <x v="40"/>
    <x v="45"/>
    <x v="48"/>
  </r>
  <r>
    <s v="PJB-15659-994"/>
    <x v="469"/>
    <s v="39457-62611-YK"/>
    <s v="L-D-2.5"/>
    <n v="4"/>
    <s v="Jorge Bettison"/>
    <n v="0"/>
    <x v="1"/>
    <s v="Longwood"/>
    <x v="4"/>
    <x v="3"/>
    <x v="4"/>
    <x v="40"/>
    <x v="45"/>
    <x v="48"/>
  </r>
  <r>
    <s v="LTS-03470-353"/>
    <x v="470"/>
    <s v="90985-89807-RW"/>
    <s v="A-L-2.5"/>
    <n v="5"/>
    <s v="Wang Powlesland"/>
    <s v="wpowleslandgt@soundcloud.com"/>
    <x v="0"/>
    <s v="Pittsburgh"/>
    <x v="4"/>
    <x v="3"/>
    <x v="4"/>
    <x v="40"/>
    <x v="45"/>
    <x v="48"/>
  </r>
  <r>
    <s v="UMM-28497-689"/>
    <x v="471"/>
    <s v="05325-97750-WP"/>
    <s v="L-L-2.5"/>
    <n v="3"/>
    <s v="Brendin Peattie"/>
    <s v="bpeattiegu@imgur.com"/>
    <x v="0"/>
    <s v="West Palm Beach"/>
    <x v="4"/>
    <x v="3"/>
    <x v="4"/>
    <x v="40"/>
    <x v="45"/>
    <x v="48"/>
  </r>
  <r>
    <s v="MJZ-93232-402"/>
    <x v="472"/>
    <s v="17816-67941-ZS"/>
    <s v="E-D-0.2"/>
    <n v="1"/>
    <s v="Laurence Ellingham"/>
    <s v="lellinghamgv@sciencedaily.com"/>
    <x v="0"/>
    <s v="Shreveport"/>
    <x v="4"/>
    <x v="3"/>
    <x v="4"/>
    <x v="40"/>
    <x v="45"/>
    <x v="48"/>
  </r>
  <r>
    <s v="UHW-74617-126"/>
    <x v="173"/>
    <s v="90816-65619-LM"/>
    <s v="E-D-2.5"/>
    <n v="2"/>
    <s v="Billy Neiland"/>
    <n v="0"/>
    <x v="0"/>
    <s v="Cleveland"/>
    <x v="4"/>
    <x v="3"/>
    <x v="4"/>
    <x v="40"/>
    <x v="45"/>
    <x v="48"/>
  </r>
  <r>
    <s v="RIK-61730-794"/>
    <x v="473"/>
    <s v="69761-61146-KD"/>
    <s v="L-M-0.2"/>
    <n v="6"/>
    <s v="Ancell Fendt"/>
    <s v="afendtgx@forbes.com"/>
    <x v="0"/>
    <s v="Milwaukee"/>
    <x v="4"/>
    <x v="3"/>
    <x v="4"/>
    <x v="40"/>
    <x v="45"/>
    <x v="48"/>
  </r>
  <r>
    <s v="IDJ-55379-750"/>
    <x v="474"/>
    <s v="24040-20817-QB"/>
    <s v="R-M-1"/>
    <n v="4"/>
    <s v="Angelia Cleyburn"/>
    <s v="acleyburngy@lycos.com"/>
    <x v="0"/>
    <s v="Fort Lauderdale"/>
    <x v="4"/>
    <x v="3"/>
    <x v="4"/>
    <x v="40"/>
    <x v="45"/>
    <x v="48"/>
  </r>
  <r>
    <s v="OHX-11953-965"/>
    <x v="475"/>
    <s v="19524-21432-XP"/>
    <s v="E-L-2.5"/>
    <n v="2"/>
    <s v="Temple Castiglione"/>
    <s v="tcastiglionegz@xing.com"/>
    <x v="0"/>
    <s v="Shreveport"/>
    <x v="4"/>
    <x v="3"/>
    <x v="4"/>
    <x v="40"/>
    <x v="45"/>
    <x v="48"/>
  </r>
  <r>
    <s v="TVV-42245-088"/>
    <x v="476"/>
    <s v="14398-43114-RV"/>
    <s v="A-M-0.2"/>
    <n v="4"/>
    <s v="Betti Lacasa"/>
    <n v="0"/>
    <x v="1"/>
    <s v="Beaumont"/>
    <x v="4"/>
    <x v="3"/>
    <x v="4"/>
    <x v="40"/>
    <x v="45"/>
    <x v="48"/>
  </r>
  <r>
    <s v="DYP-74337-787"/>
    <x v="431"/>
    <s v="41486-52502-QQ"/>
    <s v="R-M-0.5"/>
    <n v="1"/>
    <s v="Gunilla Lynch"/>
    <n v="0"/>
    <x v="0"/>
    <s v="Sacramento"/>
    <x v="4"/>
    <x v="3"/>
    <x v="4"/>
    <x v="40"/>
    <x v="45"/>
    <x v="48"/>
  </r>
  <r>
    <s v="OKA-93124-100"/>
    <x v="477"/>
    <s v="05325-97750-WP"/>
    <s v="R-M-0.5"/>
    <n v="5"/>
    <s v="Vita Pummery"/>
    <n v="0"/>
    <x v="0"/>
    <s v="Nashville"/>
    <x v="4"/>
    <x v="3"/>
    <x v="4"/>
    <x v="40"/>
    <x v="45"/>
    <x v="48"/>
  </r>
  <r>
    <s v="IXW-20780-268"/>
    <x v="478"/>
    <s v="20236-64364-QL"/>
    <s v="L-L-2.5"/>
    <n v="2"/>
    <s v="Shay Couronne"/>
    <s v="scouronneh3@mozilla.org"/>
    <x v="0"/>
    <s v="Fargo"/>
    <x v="4"/>
    <x v="3"/>
    <x v="4"/>
    <x v="40"/>
    <x v="45"/>
    <x v="48"/>
  </r>
  <r>
    <s v="NGG-24006-937"/>
    <x v="45"/>
    <s v="29102-40100-TZ"/>
    <s v="E-M-2.5"/>
    <n v="4"/>
    <s v="Linus Flippelli"/>
    <s v="lflippellih4@github.io"/>
    <x v="2"/>
    <s v="Middleton"/>
    <x v="4"/>
    <x v="3"/>
    <x v="4"/>
    <x v="40"/>
    <x v="45"/>
    <x v="48"/>
  </r>
  <r>
    <s v="JZC-31180-557"/>
    <x v="444"/>
    <s v="09171-42203-EB"/>
    <s v="L-M-2.5"/>
    <n v="1"/>
    <s v="Rachelle Elizabeth"/>
    <s v="relizabethh5@live.com"/>
    <x v="0"/>
    <s v="Tulsa"/>
    <x v="4"/>
    <x v="3"/>
    <x v="4"/>
    <x v="40"/>
    <x v="45"/>
    <x v="48"/>
  </r>
  <r>
    <s v="ZMU-63715-204"/>
    <x v="479"/>
    <s v="29060-75856-UI"/>
    <s v="E-D-1"/>
    <n v="6"/>
    <s v="Innis Renhard"/>
    <s v="irenhardh6@i2i.jp"/>
    <x v="0"/>
    <s v="New York City"/>
    <x v="4"/>
    <x v="3"/>
    <x v="4"/>
    <x v="40"/>
    <x v="45"/>
    <x v="48"/>
  </r>
  <r>
    <s v="GND-08192-056"/>
    <x v="480"/>
    <s v="17088-16989-PL"/>
    <s v="L-D-0.5"/>
    <n v="2"/>
    <s v="Winne Roche"/>
    <s v="wrocheh7@xinhuanet.com"/>
    <x v="0"/>
    <s v="Seminole"/>
    <x v="4"/>
    <x v="3"/>
    <x v="4"/>
    <x v="40"/>
    <x v="45"/>
    <x v="48"/>
  </r>
  <r>
    <s v="RYY-38961-093"/>
    <x v="481"/>
    <s v="14756-18321-CL"/>
    <s v="A-M-0.2"/>
    <n v="6"/>
    <s v="Josy Bus"/>
    <s v="jbush8@guardian.co.uk"/>
    <x v="1"/>
    <s v="Monasterevin"/>
    <x v="4"/>
    <x v="3"/>
    <x v="4"/>
    <x v="40"/>
    <x v="45"/>
    <x v="48"/>
  </r>
  <r>
    <s v="CVA-64996-969"/>
    <x v="478"/>
    <s v="13324-78688-MI"/>
    <s v="A-L-1"/>
    <n v="6"/>
    <s v="Cordy Odgaard"/>
    <s v="codgaardh9@nsw.gov.au"/>
    <x v="0"/>
    <s v="Portland"/>
    <x v="4"/>
    <x v="3"/>
    <x v="4"/>
    <x v="40"/>
    <x v="45"/>
    <x v="48"/>
  </r>
  <r>
    <s v="XTH-67276-442"/>
    <x v="482"/>
    <s v="73799-04749-BM"/>
    <s v="L-M-2.5"/>
    <n v="4"/>
    <s v="Bertine Byrd"/>
    <s v="bbyrdha@4shared.com"/>
    <x v="0"/>
    <s v="Las Vegas"/>
    <x v="4"/>
    <x v="3"/>
    <x v="4"/>
    <x v="40"/>
    <x v="45"/>
    <x v="48"/>
  </r>
  <r>
    <s v="PVU-02950-470"/>
    <x v="353"/>
    <s v="01927-46702-YT"/>
    <s v="E-D-1"/>
    <n v="1"/>
    <s v="Nelie Garnson"/>
    <n v="0"/>
    <x v="2"/>
    <s v="Merton"/>
    <x v="4"/>
    <x v="3"/>
    <x v="4"/>
    <x v="40"/>
    <x v="45"/>
    <x v="48"/>
  </r>
  <r>
    <s v="XSN-26809-910"/>
    <x v="199"/>
    <s v="80467-17137-TO"/>
    <s v="E-M-2.5"/>
    <n v="2"/>
    <s v="Dianne Chardin"/>
    <s v="dchardinhc@nhs.uk"/>
    <x v="1"/>
    <s v="Ballybofey"/>
    <x v="4"/>
    <x v="3"/>
    <x v="4"/>
    <x v="40"/>
    <x v="45"/>
    <x v="48"/>
  </r>
  <r>
    <s v="UDN-88321-005"/>
    <x v="372"/>
    <s v="14640-87215-BK"/>
    <s v="R-L-0.5"/>
    <n v="5"/>
    <s v="Hailee Radbone"/>
    <s v="hradbonehd@newsvine.com"/>
    <x v="0"/>
    <s v="San Francisco"/>
    <x v="4"/>
    <x v="3"/>
    <x v="4"/>
    <x v="40"/>
    <x v="45"/>
    <x v="48"/>
  </r>
  <r>
    <s v="EXP-21628-670"/>
    <x v="267"/>
    <s v="94447-35885-HK"/>
    <s v="A-M-2.5"/>
    <n v="3"/>
    <s v="Wallis Bernth"/>
    <s v="wbernthhe@miitbeian.gov.cn"/>
    <x v="0"/>
    <s v="Pittsburgh"/>
    <x v="4"/>
    <x v="3"/>
    <x v="4"/>
    <x v="40"/>
    <x v="45"/>
    <x v="48"/>
  </r>
  <r>
    <s v="VGM-24161-361"/>
    <x v="480"/>
    <s v="71034-49694-CS"/>
    <s v="E-M-2.5"/>
    <n v="2"/>
    <s v="Byron Acarson"/>
    <s v="bacarsonhf@cnn.com"/>
    <x v="0"/>
    <s v="Houston"/>
    <x v="4"/>
    <x v="3"/>
    <x v="4"/>
    <x v="40"/>
    <x v="45"/>
    <x v="48"/>
  </r>
  <r>
    <s v="PKN-19556-918"/>
    <x v="483"/>
    <s v="00445-42781-KX"/>
    <s v="E-L-0.2"/>
    <n v="6"/>
    <s v="Faunie Brigham"/>
    <s v="fbrighamhg@blog.com"/>
    <x v="1"/>
    <s v="Castlerea"/>
    <x v="4"/>
    <x v="3"/>
    <x v="4"/>
    <x v="40"/>
    <x v="45"/>
    <x v="48"/>
  </r>
  <r>
    <s v="PKN-19556-918"/>
    <x v="483"/>
    <s v="00445-42781-KX"/>
    <s v="L-D-0.5"/>
    <n v="4"/>
    <s v="Linn Alaway"/>
    <s v="lalawayhh@weather.com"/>
    <x v="0"/>
    <s v="Fort Lauderdale"/>
    <x v="4"/>
    <x v="3"/>
    <x v="4"/>
    <x v="40"/>
    <x v="45"/>
    <x v="48"/>
  </r>
  <r>
    <s v="PKN-19556-918"/>
    <x v="483"/>
    <s v="00445-42781-KX"/>
    <s v="A-D-0.2"/>
    <n v="1"/>
    <s v="Cami Meir"/>
    <s v="cmeirhi@cnet.com"/>
    <x v="0"/>
    <s v="Denton"/>
    <x v="4"/>
    <x v="3"/>
    <x v="4"/>
    <x v="40"/>
    <x v="45"/>
    <x v="48"/>
  </r>
  <r>
    <s v="PKN-19556-918"/>
    <x v="483"/>
    <s v="00445-42781-KX"/>
    <s v="R-D-2.5"/>
    <n v="5"/>
    <s v="Marcie Aingell"/>
    <s v="maingellhj@nasa.gov"/>
    <x v="1"/>
    <s v="Bagenalstown"/>
    <x v="4"/>
    <x v="3"/>
    <x v="4"/>
    <x v="40"/>
    <x v="45"/>
    <x v="48"/>
  </r>
  <r>
    <s v="DXQ-44537-297"/>
    <x v="484"/>
    <s v="96116-24737-LV"/>
    <s v="E-L-0.5"/>
    <n v="4"/>
    <s v="Marjorie Yoxen"/>
    <s v="myoxenhk@google.com"/>
    <x v="0"/>
    <s v="Los Angeles"/>
    <x v="4"/>
    <x v="3"/>
    <x v="4"/>
    <x v="40"/>
    <x v="45"/>
    <x v="48"/>
  </r>
  <r>
    <s v="BPC-54727-307"/>
    <x v="485"/>
    <s v="18684-73088-YL"/>
    <s v="R-L-1"/>
    <n v="4"/>
    <s v="Gaspar McGavin"/>
    <s v="gmcgavinhl@histats.com"/>
    <x v="0"/>
    <s v="Wilkes Barre"/>
    <x v="4"/>
    <x v="3"/>
    <x v="4"/>
    <x v="40"/>
    <x v="45"/>
    <x v="48"/>
  </r>
  <r>
    <s v="KSH-47717-456"/>
    <x v="486"/>
    <s v="74671-55639-TU"/>
    <s v="L-M-1"/>
    <n v="3"/>
    <s v="Lindy Uttermare"/>
    <s v="luttermarehm@engadget.com"/>
    <x v="0"/>
    <s v="Denton"/>
    <x v="4"/>
    <x v="3"/>
    <x v="4"/>
    <x v="40"/>
    <x v="45"/>
    <x v="48"/>
  </r>
  <r>
    <s v="ANK-59436-446"/>
    <x v="487"/>
    <s v="17488-65879-XL"/>
    <s v="E-L-0.5"/>
    <n v="4"/>
    <s v="Eal D'Ambrogio"/>
    <s v="edambrogiohn@techcrunch.com"/>
    <x v="0"/>
    <s v="Lees Summit"/>
    <x v="4"/>
    <x v="3"/>
    <x v="4"/>
    <x v="40"/>
    <x v="45"/>
    <x v="48"/>
  </r>
  <r>
    <s v="AYY-83051-752"/>
    <x v="488"/>
    <s v="46431-09298-OU"/>
    <s v="L-L-1"/>
    <n v="6"/>
    <s v="Carolee Winchcombe"/>
    <s v="cwinchcombeho@jiathis.com"/>
    <x v="0"/>
    <s v="Little Rock"/>
    <x v="4"/>
    <x v="3"/>
    <x v="4"/>
    <x v="40"/>
    <x v="45"/>
    <x v="48"/>
  </r>
  <r>
    <s v="CSW-59644-267"/>
    <x v="489"/>
    <s v="60378-26473-FE"/>
    <s v="E-M-2.5"/>
    <n v="1"/>
    <s v="Benedikta Paumier"/>
    <s v="bpaumierhp@umn.edu"/>
    <x v="1"/>
    <s v="Ballisodare"/>
    <x v="4"/>
    <x v="3"/>
    <x v="4"/>
    <x v="40"/>
    <x v="45"/>
    <x v="48"/>
  </r>
  <r>
    <s v="ITY-92466-909"/>
    <x v="162"/>
    <s v="34927-68586-ZV"/>
    <s v="A-M-2.5"/>
    <n v="3"/>
    <s v="Neville Piatto"/>
    <n v="0"/>
    <x v="1"/>
    <s v="Daingean"/>
    <x v="4"/>
    <x v="3"/>
    <x v="4"/>
    <x v="40"/>
    <x v="45"/>
    <x v="48"/>
  </r>
  <r>
    <s v="IGW-04801-466"/>
    <x v="490"/>
    <s v="29051-27555-GD"/>
    <s v="L-D-0.2"/>
    <n v="1"/>
    <s v="Jeno Capey"/>
    <s v="jcapeyhr@bravesites.com"/>
    <x v="0"/>
    <s v="Erie"/>
    <x v="4"/>
    <x v="3"/>
    <x v="4"/>
    <x v="40"/>
    <x v="45"/>
    <x v="48"/>
  </r>
  <r>
    <s v="LJN-34281-921"/>
    <x v="491"/>
    <s v="52143-35672-JF"/>
    <s v="R-L-2.5"/>
    <n v="5"/>
    <s v="Carmella Bruffell"/>
    <n v="0"/>
    <x v="2"/>
    <s v="Newton"/>
    <x v="4"/>
    <x v="3"/>
    <x v="4"/>
    <x v="40"/>
    <x v="45"/>
    <x v="48"/>
  </r>
  <r>
    <s v="BWZ-46364-547"/>
    <x v="301"/>
    <s v="64918-67725-MN"/>
    <s v="R-L-1"/>
    <n v="3"/>
    <s v="Yardley Basill"/>
    <s v="ybasillht@theguardian.com"/>
    <x v="0"/>
    <s v="Pittsburgh"/>
    <x v="4"/>
    <x v="3"/>
    <x v="4"/>
    <x v="40"/>
    <x v="45"/>
    <x v="48"/>
  </r>
  <r>
    <s v="SBC-95710-706"/>
    <x v="194"/>
    <s v="85634-61759-ND"/>
    <s v="E-M-0.2"/>
    <n v="2"/>
    <s v="Maggy Baistow"/>
    <s v="mbaistowhu@i2i.jp"/>
    <x v="2"/>
    <s v="Ford"/>
    <x v="4"/>
    <x v="3"/>
    <x v="4"/>
    <x v="40"/>
    <x v="45"/>
    <x v="48"/>
  </r>
  <r>
    <s v="WRN-55114-031"/>
    <x v="26"/>
    <s v="40180-22940-QB"/>
    <s v="E-L-2.5"/>
    <n v="3"/>
    <s v="Courtney Pallant"/>
    <s v="cpallanthv@typepad.com"/>
    <x v="0"/>
    <s v="Dallas"/>
    <x v="4"/>
    <x v="3"/>
    <x v="4"/>
    <x v="40"/>
    <x v="45"/>
    <x v="48"/>
  </r>
  <r>
    <s v="TZU-64255-831"/>
    <x v="125"/>
    <s v="34666-76738-SQ"/>
    <s v="R-D-2.5"/>
    <n v="2"/>
    <s v="Marne Mingey"/>
    <n v="0"/>
    <x v="0"/>
    <s v="Miami"/>
    <x v="4"/>
    <x v="3"/>
    <x v="4"/>
    <x v="40"/>
    <x v="45"/>
    <x v="48"/>
  </r>
  <r>
    <s v="JVF-91003-729"/>
    <x v="492"/>
    <s v="98536-88616-FF"/>
    <s v="A-D-2.5"/>
    <n v="3"/>
    <s v="Denny O' Ronan"/>
    <s v="dohx@redcross.org"/>
    <x v="0"/>
    <s v="San Angelo"/>
    <x v="4"/>
    <x v="3"/>
    <x v="4"/>
    <x v="40"/>
    <x v="45"/>
    <x v="48"/>
  </r>
  <r>
    <s v="MVB-22135-665"/>
    <x v="462"/>
    <s v="55621-06130-SA"/>
    <s v="A-D-1"/>
    <n v="1"/>
    <s v="Dottie Rallin"/>
    <s v="drallinhy@howstuffworks.com"/>
    <x v="0"/>
    <s v="Albany"/>
    <x v="4"/>
    <x v="3"/>
    <x v="4"/>
    <x v="40"/>
    <x v="45"/>
    <x v="48"/>
  </r>
  <r>
    <s v="CKS-47815-571"/>
    <x v="493"/>
    <s v="45666-86771-EH"/>
    <s v="L-L-0.5"/>
    <n v="3"/>
    <s v="Ardith Chill"/>
    <s v="achillhz@epa.gov"/>
    <x v="2"/>
    <s v="Thorpe"/>
    <x v="4"/>
    <x v="3"/>
    <x v="4"/>
    <x v="40"/>
    <x v="45"/>
    <x v="48"/>
  </r>
  <r>
    <s v="OAW-17338-101"/>
    <x v="494"/>
    <s v="52143-35672-JF"/>
    <s v="R-D-0.2"/>
    <n v="6"/>
    <s v="Tuckie Mathonnet"/>
    <s v="tmathonneti0@google.co.jp"/>
    <x v="0"/>
    <s v="Columbus"/>
    <x v="4"/>
    <x v="3"/>
    <x v="4"/>
    <x v="40"/>
    <x v="45"/>
    <x v="48"/>
  </r>
  <r>
    <s v="ALP-37623-536"/>
    <x v="495"/>
    <s v="24689-69376-XX"/>
    <s v="L-L-1"/>
    <n v="6"/>
    <s v="Charmane Denys"/>
    <s v="cdenysi1@is.gd"/>
    <x v="2"/>
    <s v="Carlton"/>
    <x v="4"/>
    <x v="3"/>
    <x v="4"/>
    <x v="40"/>
    <x v="45"/>
    <x v="48"/>
  </r>
  <r>
    <s v="WMU-87639-108"/>
    <x v="496"/>
    <s v="71891-51101-VQ"/>
    <s v="R-D-0.5"/>
    <n v="1"/>
    <s v="Cecily Stebbings"/>
    <s v="cstebbingsi2@drupal.org"/>
    <x v="0"/>
    <s v="Corona"/>
    <x v="4"/>
    <x v="3"/>
    <x v="4"/>
    <x v="40"/>
    <x v="45"/>
    <x v="48"/>
  </r>
  <r>
    <s v="USN-44968-231"/>
    <x v="497"/>
    <s v="71749-05400-CN"/>
    <s v="R-L-1"/>
    <n v="4"/>
    <s v="Giana Tonnesen"/>
    <n v="0"/>
    <x v="0"/>
    <s v="Washington"/>
    <x v="4"/>
    <x v="3"/>
    <x v="4"/>
    <x v="40"/>
    <x v="45"/>
    <x v="48"/>
  </r>
  <r>
    <s v="YZG-20575-451"/>
    <x v="498"/>
    <s v="64845-00270-NO"/>
    <s v="L-L-1"/>
    <n v="4"/>
    <s v="Rhetta Zywicki"/>
    <s v="rzywickii4@ifeng.com"/>
    <x v="1"/>
    <s v="Ballinteer"/>
    <x v="4"/>
    <x v="3"/>
    <x v="4"/>
    <x v="40"/>
    <x v="45"/>
    <x v="48"/>
  </r>
  <r>
    <s v="HTH-52867-812"/>
    <x v="382"/>
    <s v="29851-36402-UX"/>
    <s v="A-M-2.5"/>
    <n v="4"/>
    <s v="Almeria Burgett"/>
    <s v="aburgetti5@moonfruit.com"/>
    <x v="0"/>
    <s v="Toledo"/>
    <x v="4"/>
    <x v="3"/>
    <x v="4"/>
    <x v="40"/>
    <x v="45"/>
    <x v="48"/>
  </r>
  <r>
    <s v="FWU-44971-444"/>
    <x v="499"/>
    <s v="12190-25421-WM"/>
    <s v="A-D-2.5"/>
    <n v="3"/>
    <s v="Marvin Malloy"/>
    <s v="mmalloyi6@seattletimes.com"/>
    <x v="0"/>
    <s v="Washington"/>
    <x v="4"/>
    <x v="3"/>
    <x v="4"/>
    <x v="40"/>
    <x v="45"/>
    <x v="48"/>
  </r>
  <r>
    <s v="EQI-82205-066"/>
    <x v="500"/>
    <s v="52316-30571-GD"/>
    <s v="R-M-2.5"/>
    <n v="2"/>
    <s v="Maxim McParland"/>
    <s v="mmcparlandi7@w3.org"/>
    <x v="0"/>
    <s v="Cedar Rapids"/>
    <x v="4"/>
    <x v="3"/>
    <x v="4"/>
    <x v="40"/>
    <x v="45"/>
    <x v="48"/>
  </r>
  <r>
    <s v="NAR-00747-074"/>
    <x v="501"/>
    <s v="23243-92649-RY"/>
    <s v="L-D-1"/>
    <n v="4"/>
    <s v="Sylas Jennaroy"/>
    <s v="sjennaroyi8@purevolume.com"/>
    <x v="0"/>
    <s v="Aurora"/>
    <x v="4"/>
    <x v="3"/>
    <x v="4"/>
    <x v="40"/>
    <x v="45"/>
    <x v="48"/>
  </r>
  <r>
    <s v="JYR-22052-185"/>
    <x v="502"/>
    <s v="39528-19971-OR"/>
    <s v="A-M-0.5"/>
    <n v="2"/>
    <s v="Wren Place"/>
    <s v="wplacei9@wsj.com"/>
    <x v="0"/>
    <s v="Sunnyvale"/>
    <x v="4"/>
    <x v="3"/>
    <x v="4"/>
    <x v="40"/>
    <x v="45"/>
    <x v="48"/>
  </r>
  <r>
    <s v="XKO-54097-932"/>
    <x v="503"/>
    <s v="32743-78448-KT"/>
    <s v="E-M-0.5"/>
    <n v="3"/>
    <s v="Hewitt Jarret"/>
    <n v="0"/>
    <x v="1"/>
    <s v="Manorhamilton"/>
    <x v="4"/>
    <x v="3"/>
    <x v="4"/>
    <x v="40"/>
    <x v="45"/>
    <x v="48"/>
  </r>
  <r>
    <s v="HXA-72415-025"/>
    <x v="504"/>
    <s v="93417-12322-YB"/>
    <s v="A-D-2.5"/>
    <n v="2"/>
    <s v="Dollie Gadsden"/>
    <s v="dgadsdenib@google.com.hk"/>
    <x v="1"/>
    <s v="Cluain Meala"/>
    <x v="4"/>
    <x v="3"/>
    <x v="4"/>
    <x v="40"/>
    <x v="45"/>
    <x v="48"/>
  </r>
  <r>
    <s v="MJF-20065-335"/>
    <x v="497"/>
    <s v="56891-86662-UY"/>
    <s v="E-L-0.5"/>
    <n v="6"/>
    <s v="Val Wakelin"/>
    <s v="vwakelinic@unesco.org"/>
    <x v="0"/>
    <s v="Lansing"/>
    <x v="4"/>
    <x v="3"/>
    <x v="4"/>
    <x v="40"/>
    <x v="45"/>
    <x v="48"/>
  </r>
  <r>
    <s v="GFI-83300-059"/>
    <x v="501"/>
    <s v="40414-26467-VE"/>
    <s v="A-M-0.2"/>
    <n v="6"/>
    <s v="Annie Campsall"/>
    <s v="acampsallid@zimbio.com"/>
    <x v="0"/>
    <s v="Houston"/>
    <x v="4"/>
    <x v="3"/>
    <x v="4"/>
    <x v="40"/>
    <x v="45"/>
    <x v="48"/>
  </r>
  <r>
    <s v="WJR-51493-682"/>
    <x v="1"/>
    <s v="87858-83734-RK"/>
    <s v="L-D-2.5"/>
    <n v="5"/>
    <s v="Shermy Moseby"/>
    <s v="smosebyie@stanford.edu"/>
    <x v="0"/>
    <s v="Murfreesboro"/>
    <x v="4"/>
    <x v="3"/>
    <x v="4"/>
    <x v="40"/>
    <x v="45"/>
    <x v="48"/>
  </r>
  <r>
    <s v="SHP-55648-472"/>
    <x v="505"/>
    <s v="46818-20198-GB"/>
    <s v="A-M-1"/>
    <n v="6"/>
    <s v="Corrie Wass"/>
    <s v="cwassif@prweb.com"/>
    <x v="0"/>
    <s v="Charleston"/>
    <x v="4"/>
    <x v="3"/>
    <x v="4"/>
    <x v="40"/>
    <x v="45"/>
    <x v="48"/>
  </r>
  <r>
    <s v="HYR-03455-684"/>
    <x v="506"/>
    <s v="29808-89098-XD"/>
    <s v="E-D-1"/>
    <n v="6"/>
    <s v="Ira Sjostrom"/>
    <s v="isjostromig@pbs.org"/>
    <x v="0"/>
    <s v="Erie"/>
    <x v="4"/>
    <x v="3"/>
    <x v="4"/>
    <x v="40"/>
    <x v="45"/>
    <x v="48"/>
  </r>
  <r>
    <s v="HYR-03455-684"/>
    <x v="506"/>
    <s v="29808-89098-XD"/>
    <s v="L-D-0.2"/>
    <n v="2"/>
    <s v="Helli Load"/>
    <s v="hloadih@weibo.com"/>
    <x v="0"/>
    <s v="Jackson"/>
    <x v="4"/>
    <x v="3"/>
    <x v="4"/>
    <x v="40"/>
    <x v="45"/>
    <x v="48"/>
  </r>
  <r>
    <s v="HUG-52766-375"/>
    <x v="507"/>
    <s v="78786-77449-RQ"/>
    <s v="A-D-2.5"/>
    <n v="4"/>
    <s v="Jermaine Branchett"/>
    <s v="jbranchettii@bravesites.com"/>
    <x v="0"/>
    <s v="Lubbock"/>
    <x v="4"/>
    <x v="3"/>
    <x v="4"/>
    <x v="40"/>
    <x v="45"/>
    <x v="48"/>
  </r>
  <r>
    <s v="DAH-46595-917"/>
    <x v="508"/>
    <s v="27878-42224-QF"/>
    <s v="A-D-1"/>
    <n v="6"/>
    <s v="Nissie Rudland"/>
    <s v="nrudlandij@blogs.com"/>
    <x v="1"/>
    <s v="Gorey"/>
    <x v="4"/>
    <x v="3"/>
    <x v="4"/>
    <x v="40"/>
    <x v="45"/>
    <x v="48"/>
  </r>
  <r>
    <s v="VEM-79839-466"/>
    <x v="509"/>
    <s v="32743-78448-KT"/>
    <s v="R-L-2.5"/>
    <n v="5"/>
    <s v="Janella Millett"/>
    <s v="jmillettik@addtoany.com"/>
    <x v="0"/>
    <s v="Durham"/>
    <x v="4"/>
    <x v="3"/>
    <x v="4"/>
    <x v="40"/>
    <x v="45"/>
    <x v="48"/>
  </r>
  <r>
    <s v="OWH-11126-533"/>
    <x v="131"/>
    <s v="25331-13794-SB"/>
    <s v="L-M-2.5"/>
    <n v="2"/>
    <s v="Ferdie Tourry"/>
    <s v="ftourryil@google.de"/>
    <x v="0"/>
    <s v="Florence"/>
    <x v="4"/>
    <x v="3"/>
    <x v="4"/>
    <x v="40"/>
    <x v="45"/>
    <x v="48"/>
  </r>
  <r>
    <s v="UMT-26130-151"/>
    <x v="510"/>
    <s v="55864-37682-GQ"/>
    <s v="L-M-0.2"/>
    <n v="3"/>
    <s v="Cecil Weatherall"/>
    <s v="cweatherallim@toplist.cz"/>
    <x v="0"/>
    <s v="Syracuse"/>
    <x v="4"/>
    <x v="3"/>
    <x v="4"/>
    <x v="40"/>
    <x v="45"/>
    <x v="48"/>
  </r>
  <r>
    <s v="JKA-27899-806"/>
    <x v="511"/>
    <s v="97005-25609-CQ"/>
    <s v="R-L-1"/>
    <n v="5"/>
    <s v="Gale Heindrick"/>
    <s v="gheindrickin@usda.gov"/>
    <x v="0"/>
    <s v="Lawrenceville"/>
    <x v="4"/>
    <x v="3"/>
    <x v="4"/>
    <x v="40"/>
    <x v="45"/>
    <x v="48"/>
  </r>
  <r>
    <s v="ULU-07744-724"/>
    <x v="512"/>
    <s v="94058-95794-IJ"/>
    <s v="L-M-0.5"/>
    <n v="5"/>
    <s v="Layne Imason"/>
    <s v="limasonio@discuz.net"/>
    <x v="0"/>
    <s v="Houston"/>
    <x v="4"/>
    <x v="3"/>
    <x v="4"/>
    <x v="40"/>
    <x v="45"/>
    <x v="48"/>
  </r>
  <r>
    <s v="NOM-56457-507"/>
    <x v="513"/>
    <s v="40214-03678-GU"/>
    <s v="E-M-1"/>
    <n v="6"/>
    <s v="Hazel Saill"/>
    <s v="hsaillip@odnoklassniki.ru"/>
    <x v="0"/>
    <s v="Kansas City"/>
    <x v="4"/>
    <x v="3"/>
    <x v="4"/>
    <x v="40"/>
    <x v="45"/>
    <x v="48"/>
  </r>
  <r>
    <s v="NZN-71683-705"/>
    <x v="514"/>
    <s v="04921-85445-SL"/>
    <s v="A-L-2.5"/>
    <n v="6"/>
    <s v="Hermann Larvor"/>
    <s v="hlarvoriq@last.fm"/>
    <x v="0"/>
    <s v="Bradenton"/>
    <x v="4"/>
    <x v="3"/>
    <x v="4"/>
    <x v="40"/>
    <x v="45"/>
    <x v="48"/>
  </r>
  <r>
    <s v="WMA-34232-850"/>
    <x v="7"/>
    <s v="53386-94266-LJ"/>
    <s v="L-D-2.5"/>
    <n v="4"/>
    <s v="Terri Lyford"/>
    <n v="0"/>
    <x v="0"/>
    <s v="Allentown"/>
    <x v="4"/>
    <x v="3"/>
    <x v="4"/>
    <x v="40"/>
    <x v="45"/>
    <x v="48"/>
  </r>
  <r>
    <s v="EZL-27919-704"/>
    <x v="481"/>
    <s v="49480-85909-DG"/>
    <s v="L-L-0.5"/>
    <n v="5"/>
    <s v="Gabey Cogan"/>
    <n v="0"/>
    <x v="0"/>
    <s v="Hampton"/>
    <x v="4"/>
    <x v="3"/>
    <x v="4"/>
    <x v="40"/>
    <x v="45"/>
    <x v="48"/>
  </r>
  <r>
    <s v="ZYU-11345-774"/>
    <x v="515"/>
    <s v="18293-78136-MN"/>
    <s v="L-M-0.5"/>
    <n v="5"/>
    <s v="Charin Penwarden"/>
    <s v="cpenwardenit@mlb.com"/>
    <x v="1"/>
    <s v="Whitegate"/>
    <x v="4"/>
    <x v="3"/>
    <x v="4"/>
    <x v="40"/>
    <x v="45"/>
    <x v="48"/>
  </r>
  <r>
    <s v="CPW-34587-459"/>
    <x v="516"/>
    <s v="84641-67384-TD"/>
    <s v="A-L-2.5"/>
    <n v="6"/>
    <s v="Milty Middis"/>
    <s v="mmiddisiu@dmoz.org"/>
    <x v="0"/>
    <s v="Wichita"/>
    <x v="4"/>
    <x v="3"/>
    <x v="4"/>
    <x v="40"/>
    <x v="45"/>
    <x v="48"/>
  </r>
  <r>
    <s v="NQZ-82067-394"/>
    <x v="517"/>
    <s v="72320-29738-EB"/>
    <s v="R-L-2.5"/>
    <n v="1"/>
    <s v="Adrianne Vairow"/>
    <s v="avairowiv@studiopress.com"/>
    <x v="2"/>
    <s v="Thorpe"/>
    <x v="4"/>
    <x v="3"/>
    <x v="4"/>
    <x v="40"/>
    <x v="45"/>
    <x v="48"/>
  </r>
  <r>
    <s v="JBW-95055-851"/>
    <x v="518"/>
    <s v="47355-97488-XS"/>
    <s v="A-M-1"/>
    <n v="5"/>
    <s v="Anjanette Goldie"/>
    <s v="agoldieiw@goo.gl"/>
    <x v="0"/>
    <s v="Danbury"/>
    <x v="4"/>
    <x v="3"/>
    <x v="4"/>
    <x v="40"/>
    <x v="45"/>
    <x v="48"/>
  </r>
  <r>
    <s v="AHY-20324-088"/>
    <x v="519"/>
    <s v="63499-24884-PP"/>
    <s v="L-L-0.2"/>
    <n v="2"/>
    <s v="Nicky Ayris"/>
    <s v="nayrisix@t-online.de"/>
    <x v="2"/>
    <s v="Kinloch"/>
    <x v="4"/>
    <x v="3"/>
    <x v="4"/>
    <x v="40"/>
    <x v="45"/>
    <x v="48"/>
  </r>
  <r>
    <s v="ZSL-66684-103"/>
    <x v="520"/>
    <s v="39193-51770-FM"/>
    <s v="E-M-0.2"/>
    <n v="2"/>
    <s v="Laryssa Benediktovich"/>
    <s v="lbenediktovichiy@wunderground.com"/>
    <x v="0"/>
    <s v="Jacksonville"/>
    <x v="4"/>
    <x v="3"/>
    <x v="4"/>
    <x v="40"/>
    <x v="45"/>
    <x v="48"/>
  </r>
  <r>
    <s v="WNE-73911-475"/>
    <x v="521"/>
    <s v="61323-91967-GG"/>
    <s v="L-D-0.5"/>
    <n v="6"/>
    <s v="Theo Jacobovitz"/>
    <s v="tjacobovitziz@cbc.ca"/>
    <x v="0"/>
    <s v="Houston"/>
    <x v="4"/>
    <x v="3"/>
    <x v="4"/>
    <x v="40"/>
    <x v="45"/>
    <x v="48"/>
  </r>
  <r>
    <s v="EZB-68383-559"/>
    <x v="418"/>
    <s v="90123-01967-KS"/>
    <s v="R-L-1"/>
    <n v="6"/>
    <s v="Becca Ableson"/>
    <n v="0"/>
    <x v="0"/>
    <s v="Portland"/>
    <x v="4"/>
    <x v="3"/>
    <x v="4"/>
    <x v="40"/>
    <x v="45"/>
    <x v="48"/>
  </r>
  <r>
    <s v="OVO-01283-090"/>
    <x v="122"/>
    <s v="15958-25089-OS"/>
    <s v="L-L-2.5"/>
    <n v="2"/>
    <s v="Jeno Druitt"/>
    <s v="jdruittj1@feedburner.com"/>
    <x v="0"/>
    <s v="Pasadena"/>
    <x v="4"/>
    <x v="3"/>
    <x v="4"/>
    <x v="40"/>
    <x v="45"/>
    <x v="48"/>
  </r>
  <r>
    <s v="TXH-78646-919"/>
    <x v="423"/>
    <s v="98430-37820-UV"/>
    <s v="R-D-0.2"/>
    <n v="3"/>
    <s v="Deonne Shortall"/>
    <s v="dshortallj2@wikipedia.org"/>
    <x v="0"/>
    <s v="Santa Ana"/>
    <x v="4"/>
    <x v="3"/>
    <x v="4"/>
    <x v="40"/>
    <x v="45"/>
    <x v="48"/>
  </r>
  <r>
    <s v="CYZ-37122-164"/>
    <x v="463"/>
    <s v="21798-04171-XC"/>
    <s v="E-M-0.5"/>
    <n v="2"/>
    <s v="Wilton Cottier"/>
    <s v="wcottierj3@cafepress.com"/>
    <x v="0"/>
    <s v="San Jose"/>
    <x v="4"/>
    <x v="3"/>
    <x v="4"/>
    <x v="40"/>
    <x v="45"/>
    <x v="48"/>
  </r>
  <r>
    <s v="AGQ-06534-750"/>
    <x v="273"/>
    <s v="52798-46508-HP"/>
    <s v="A-L-1"/>
    <n v="5"/>
    <s v="Kevan Grinsted"/>
    <s v="kgrinstedj4@google.com.br"/>
    <x v="1"/>
    <s v="Tallaght"/>
    <x v="4"/>
    <x v="3"/>
    <x v="4"/>
    <x v="40"/>
    <x v="45"/>
    <x v="48"/>
  </r>
  <r>
    <s v="QVL-32245-818"/>
    <x v="522"/>
    <s v="46478-42970-EM"/>
    <s v="A-M-0.5"/>
    <n v="5"/>
    <s v="Dionne Skyner"/>
    <s v="dskynerj5@hubpages.com"/>
    <x v="0"/>
    <s v="Colorado Springs"/>
    <x v="4"/>
    <x v="3"/>
    <x v="4"/>
    <x v="40"/>
    <x v="45"/>
    <x v="48"/>
  </r>
  <r>
    <s v="LTD-96842-834"/>
    <x v="523"/>
    <s v="00246-15080-LE"/>
    <s v="L-D-2.5"/>
    <n v="6"/>
    <s v="Francesco Dressel"/>
    <n v="0"/>
    <x v="0"/>
    <s v="Toledo"/>
    <x v="4"/>
    <x v="3"/>
    <x v="4"/>
    <x v="40"/>
    <x v="45"/>
    <x v="48"/>
  </r>
  <r>
    <s v="SEC-91807-425"/>
    <x v="260"/>
    <s v="94091-86957-HX"/>
    <s v="A-M-1"/>
    <n v="2"/>
    <s v="Paola Normanvill"/>
    <s v="pnormanvillj7@biblegateway.com"/>
    <x v="0"/>
    <s v="Boynton Beach"/>
    <x v="4"/>
    <x v="3"/>
    <x v="4"/>
    <x v="40"/>
    <x v="45"/>
    <x v="48"/>
  </r>
  <r>
    <s v="MHM-44857-599"/>
    <x v="331"/>
    <s v="26295-44907-DK"/>
    <s v="L-D-1"/>
    <n v="1"/>
    <s v="Ambrosio Weinmann"/>
    <s v="aweinmannj8@shinystat.com"/>
    <x v="0"/>
    <s v="Cincinnati"/>
    <x v="4"/>
    <x v="3"/>
    <x v="4"/>
    <x v="40"/>
    <x v="45"/>
    <x v="48"/>
  </r>
  <r>
    <s v="KGC-95046-911"/>
    <x v="524"/>
    <s v="95351-96177-QV"/>
    <s v="A-M-2.5"/>
    <n v="2"/>
    <s v="Elden Andriessen"/>
    <s v="eandriessenj9@europa.eu"/>
    <x v="0"/>
    <s v="Saint Louis"/>
    <x v="4"/>
    <x v="3"/>
    <x v="4"/>
    <x v="40"/>
    <x v="45"/>
    <x v="48"/>
  </r>
  <r>
    <s v="RZC-75150-413"/>
    <x v="525"/>
    <s v="92204-96636-BS"/>
    <s v="E-D-0.5"/>
    <n v="5"/>
    <s v="Roxie Deaconson"/>
    <s v="rdeaconsonja@archive.org"/>
    <x v="0"/>
    <s v="Yonkers"/>
    <x v="4"/>
    <x v="3"/>
    <x v="4"/>
    <x v="40"/>
    <x v="45"/>
    <x v="48"/>
  </r>
  <r>
    <s v="EYH-88288-452"/>
    <x v="526"/>
    <s v="03010-30348-UA"/>
    <s v="L-L-2.5"/>
    <n v="5"/>
    <s v="Davida Caro"/>
    <s v="dcarojb@twitter.com"/>
    <x v="0"/>
    <s v="Baltimore"/>
    <x v="4"/>
    <x v="3"/>
    <x v="4"/>
    <x v="40"/>
    <x v="45"/>
    <x v="48"/>
  </r>
  <r>
    <s v="NYQ-24237-772"/>
    <x v="104"/>
    <s v="13441-34686-SW"/>
    <s v="L-D-0.5"/>
    <n v="4"/>
    <s v="Johna Bluck"/>
    <s v="jbluckjc@imageshack.us"/>
    <x v="0"/>
    <s v="Jacksonville"/>
    <x v="4"/>
    <x v="3"/>
    <x v="4"/>
    <x v="40"/>
    <x v="45"/>
    <x v="48"/>
  </r>
  <r>
    <s v="WKB-21680-566"/>
    <x v="491"/>
    <s v="96612-41722-VJ"/>
    <s v="A-M-0.5"/>
    <n v="3"/>
    <s v="Myrle Dearden"/>
    <n v="0"/>
    <x v="1"/>
    <s v="Bayside"/>
    <x v="4"/>
    <x v="3"/>
    <x v="4"/>
    <x v="40"/>
    <x v="45"/>
    <x v="48"/>
  </r>
  <r>
    <s v="THE-61147-027"/>
    <x v="157"/>
    <s v="94091-86957-HX"/>
    <s v="L-D-1"/>
    <n v="2"/>
    <s v="Jimmy Dymoke"/>
    <s v="jdymokeje@prnewswire.com"/>
    <x v="1"/>
    <s v="Beaumont"/>
    <x v="4"/>
    <x v="3"/>
    <x v="4"/>
    <x v="40"/>
    <x v="45"/>
    <x v="48"/>
  </r>
  <r>
    <s v="PTY-86420-119"/>
    <x v="527"/>
    <s v="25504-41681-WA"/>
    <s v="A-D-0.5"/>
    <n v="4"/>
    <s v="Orland Tadman"/>
    <s v="otadmanjf@ft.com"/>
    <x v="0"/>
    <s v="Miami"/>
    <x v="4"/>
    <x v="3"/>
    <x v="4"/>
    <x v="40"/>
    <x v="45"/>
    <x v="48"/>
  </r>
  <r>
    <s v="QHL-27188-431"/>
    <x v="528"/>
    <s v="75443-07820-DZ"/>
    <s v="L-L-0.5"/>
    <n v="2"/>
    <s v="Barrett Gudde"/>
    <s v="bguddejg@dailymotion.com"/>
    <x v="0"/>
    <s v="San Francisco"/>
    <x v="4"/>
    <x v="3"/>
    <x v="4"/>
    <x v="40"/>
    <x v="45"/>
    <x v="48"/>
  </r>
  <r>
    <s v="MIS-54381-047"/>
    <x v="99"/>
    <s v="39276-95489-XV"/>
    <s v="A-D-0.5"/>
    <n v="5"/>
    <s v="Nathan Sictornes"/>
    <s v="nsictornesjh@buzzfeed.com"/>
    <x v="1"/>
    <s v="Sandyford"/>
    <x v="4"/>
    <x v="3"/>
    <x v="4"/>
    <x v="40"/>
    <x v="45"/>
    <x v="48"/>
  </r>
  <r>
    <s v="TBB-29780-459"/>
    <x v="529"/>
    <s v="61437-83623-PZ"/>
    <s v="A-L-0.5"/>
    <n v="1"/>
    <s v="Vivyan Dunning"/>
    <s v="vdunningji@independent.co.uk"/>
    <x v="0"/>
    <s v="Punta Gorda"/>
    <x v="4"/>
    <x v="3"/>
    <x v="4"/>
    <x v="40"/>
    <x v="45"/>
    <x v="48"/>
  </r>
  <r>
    <s v="QLC-52637-305"/>
    <x v="530"/>
    <s v="34317-87258-HQ"/>
    <s v="L-D-2.5"/>
    <n v="4"/>
    <s v="Doralin Baison"/>
    <n v="0"/>
    <x v="1"/>
    <s v="Ballivor"/>
    <x v="4"/>
    <x v="3"/>
    <x v="4"/>
    <x v="40"/>
    <x v="45"/>
    <x v="48"/>
  </r>
  <r>
    <s v="CWT-27056-328"/>
    <x v="531"/>
    <s v="18570-80998-ZS"/>
    <s v="E-D-0.2"/>
    <n v="6"/>
    <s v="Josefina Ferens"/>
    <n v="0"/>
    <x v="0"/>
    <s v="New York City"/>
    <x v="4"/>
    <x v="3"/>
    <x v="4"/>
    <x v="40"/>
    <x v="45"/>
    <x v="48"/>
  </r>
  <r>
    <s v="ASS-05878-128"/>
    <x v="210"/>
    <s v="66580-33745-OQ"/>
    <s v="E-L-0.5"/>
    <n v="2"/>
    <s v="Shelley Gehring"/>
    <s v="sgehringjl@gnu.org"/>
    <x v="0"/>
    <s v="Spartanburg"/>
    <x v="4"/>
    <x v="3"/>
    <x v="4"/>
    <x v="40"/>
    <x v="45"/>
    <x v="48"/>
  </r>
  <r>
    <s v="EGK-03027-418"/>
    <x v="532"/>
    <s v="19820-29285-FD"/>
    <s v="E-M-0.2"/>
    <n v="3"/>
    <s v="Barrie Fallowes"/>
    <s v="bfallowesjm@purevolume.com"/>
    <x v="0"/>
    <s v="Bakersfield"/>
    <x v="4"/>
    <x v="3"/>
    <x v="4"/>
    <x v="40"/>
    <x v="45"/>
    <x v="48"/>
  </r>
  <r>
    <s v="KCY-61732-849"/>
    <x v="533"/>
    <s v="11349-55147-SN"/>
    <s v="L-D-1"/>
    <n v="2"/>
    <s v="Nicolas Aiton"/>
    <n v="0"/>
    <x v="1"/>
    <s v="Dungarvan"/>
    <x v="4"/>
    <x v="3"/>
    <x v="4"/>
    <x v="40"/>
    <x v="45"/>
    <x v="48"/>
  </r>
  <r>
    <s v="BLI-21697-702"/>
    <x v="534"/>
    <s v="21141-12455-VB"/>
    <s v="A-M-0.5"/>
    <n v="2"/>
    <s v="Shelli De Banke"/>
    <s v="sdejo@newsvine.com"/>
    <x v="0"/>
    <s v="Saint Louis"/>
    <x v="4"/>
    <x v="3"/>
    <x v="4"/>
    <x v="40"/>
    <x v="45"/>
    <x v="48"/>
  </r>
  <r>
    <s v="KFJ-46568-890"/>
    <x v="535"/>
    <s v="71003-85639-HB"/>
    <s v="E-L-0.5"/>
    <n v="2"/>
    <s v="Lyell Murch"/>
    <n v="0"/>
    <x v="0"/>
    <s v="Fort Wayne"/>
    <x v="4"/>
    <x v="3"/>
    <x v="4"/>
    <x v="40"/>
    <x v="45"/>
    <x v="48"/>
  </r>
  <r>
    <s v="SOK-43535-680"/>
    <x v="536"/>
    <s v="58443-95866-YO"/>
    <s v="E-M-0.5"/>
    <n v="3"/>
    <s v="Stearne Count"/>
    <s v="scountjq@nba.com"/>
    <x v="0"/>
    <s v="Young America"/>
    <x v="4"/>
    <x v="3"/>
    <x v="4"/>
    <x v="40"/>
    <x v="45"/>
    <x v="48"/>
  </r>
  <r>
    <s v="XUE-87260-201"/>
    <x v="537"/>
    <s v="89646-21249-OH"/>
    <s v="R-M-0.2"/>
    <n v="6"/>
    <s v="Selia Ragles"/>
    <s v="sraglesjr@blogtalkradio.com"/>
    <x v="0"/>
    <s v="Fort Smith"/>
    <x v="4"/>
    <x v="3"/>
    <x v="4"/>
    <x v="40"/>
    <x v="45"/>
    <x v="48"/>
  </r>
  <r>
    <s v="CZF-40873-691"/>
    <x v="61"/>
    <s v="64988-20636-XQ"/>
    <s v="E-M-0.5"/>
    <n v="2"/>
    <s v="Silas Deehan"/>
    <n v="0"/>
    <x v="2"/>
    <s v="Charlton"/>
    <x v="4"/>
    <x v="3"/>
    <x v="4"/>
    <x v="40"/>
    <x v="45"/>
    <x v="48"/>
  </r>
  <r>
    <s v="AIA-98989-755"/>
    <x v="242"/>
    <s v="34704-83143-KS"/>
    <s v="R-M-0.2"/>
    <n v="1"/>
    <s v="Sacha Bruun"/>
    <s v="sbruunjt@blogtalkradio.com"/>
    <x v="0"/>
    <s v="Stockton"/>
    <x v="4"/>
    <x v="3"/>
    <x v="4"/>
    <x v="40"/>
    <x v="45"/>
    <x v="48"/>
  </r>
  <r>
    <s v="ITZ-21793-986"/>
    <x v="299"/>
    <s v="67388-17544-XX"/>
    <s v="E-D-0.2"/>
    <n v="4"/>
    <s v="Alon Pllu"/>
    <s v="aplluju@dagondesign.com"/>
    <x v="1"/>
    <s v="Navan"/>
    <x v="4"/>
    <x v="3"/>
    <x v="4"/>
    <x v="40"/>
    <x v="45"/>
    <x v="48"/>
  </r>
  <r>
    <s v="YOK-93322-608"/>
    <x v="343"/>
    <s v="69411-48470-ID"/>
    <s v="E-L-1"/>
    <n v="6"/>
    <s v="Gilberto Cornier"/>
    <s v="gcornierjv@techcrunch.com"/>
    <x v="0"/>
    <s v="Tampa"/>
    <x v="4"/>
    <x v="3"/>
    <x v="4"/>
    <x v="40"/>
    <x v="45"/>
    <x v="48"/>
  </r>
  <r>
    <s v="LXK-00634-611"/>
    <x v="538"/>
    <s v="94091-86957-HX"/>
    <s v="R-L-1"/>
    <n v="3"/>
    <s v="Selestina Greedyer"/>
    <s v="sgreedyerjw@parallels.com"/>
    <x v="1"/>
    <s v="Castlebellingham"/>
    <x v="4"/>
    <x v="3"/>
    <x v="4"/>
    <x v="40"/>
    <x v="45"/>
    <x v="48"/>
  </r>
  <r>
    <s v="CQW-37388-302"/>
    <x v="539"/>
    <s v="97741-98924-KT"/>
    <s v="A-D-2.5"/>
    <n v="3"/>
    <s v="Willabella Harvison"/>
    <s v="wharvisonjx@gizmodo.com"/>
    <x v="0"/>
    <s v="Philadelphia"/>
    <x v="4"/>
    <x v="3"/>
    <x v="4"/>
    <x v="40"/>
    <x v="45"/>
    <x v="48"/>
  </r>
  <r>
    <s v="SPA-79365-334"/>
    <x v="27"/>
    <s v="79857-78167-KO"/>
    <s v="L-D-1"/>
    <n v="3"/>
    <s v="Darice Heaford"/>
    <s v="dheafordjy@twitpic.com"/>
    <x v="0"/>
    <s v="San Angelo"/>
    <x v="4"/>
    <x v="3"/>
    <x v="4"/>
    <x v="40"/>
    <x v="45"/>
    <x v="48"/>
  </r>
  <r>
    <s v="VPX-08817-517"/>
    <x v="540"/>
    <s v="46963-10322-ZA"/>
    <s v="L-L-1"/>
    <n v="5"/>
    <s v="Granger Fantham"/>
    <s v="gfanthamjz@hexun.com"/>
    <x v="0"/>
    <s v="Los Angeles"/>
    <x v="4"/>
    <x v="3"/>
    <x v="4"/>
    <x v="40"/>
    <x v="45"/>
    <x v="48"/>
  </r>
  <r>
    <s v="PBP-87115-410"/>
    <x v="541"/>
    <s v="93812-74772-MV"/>
    <s v="E-D-0.5"/>
    <n v="5"/>
    <s v="Reynolds Crookshanks"/>
    <s v="rcrookshanksk0@unc.edu"/>
    <x v="0"/>
    <s v="Lansing"/>
    <x v="4"/>
    <x v="3"/>
    <x v="4"/>
    <x v="40"/>
    <x v="45"/>
    <x v="48"/>
  </r>
  <r>
    <s v="SFB-93752-440"/>
    <x v="390"/>
    <s v="48203-23480-UB"/>
    <s v="R-M-0.2"/>
    <n v="3"/>
    <s v="Niels Leake"/>
    <s v="nleakek1@cmu.edu"/>
    <x v="0"/>
    <s v="Clearwater"/>
    <x v="4"/>
    <x v="3"/>
    <x v="4"/>
    <x v="40"/>
    <x v="45"/>
    <x v="48"/>
  </r>
  <r>
    <s v="TBU-65158-068"/>
    <x v="396"/>
    <s v="60357-65386-RD"/>
    <s v="E-D-1"/>
    <n v="2"/>
    <s v="Hetti Measures"/>
    <n v="0"/>
    <x v="0"/>
    <s v="Whittier"/>
    <x v="4"/>
    <x v="3"/>
    <x v="4"/>
    <x v="40"/>
    <x v="45"/>
    <x v="48"/>
  </r>
  <r>
    <s v="TEH-08414-216"/>
    <x v="185"/>
    <s v="35099-13971-JI"/>
    <s v="E-M-2.5"/>
    <n v="2"/>
    <s v="Gay Eilhersen"/>
    <s v="geilhersenk3@networksolutions.com"/>
    <x v="0"/>
    <s v="Fresno"/>
    <x v="4"/>
    <x v="3"/>
    <x v="4"/>
    <x v="40"/>
    <x v="45"/>
    <x v="48"/>
  </r>
  <r>
    <s v="MAY-77231-536"/>
    <x v="542"/>
    <s v="01304-59807-OB"/>
    <s v="A-M-0.2"/>
    <n v="2"/>
    <s v="Nico Hubert"/>
    <n v="0"/>
    <x v="0"/>
    <s v="New York City"/>
    <x v="4"/>
    <x v="3"/>
    <x v="4"/>
    <x v="40"/>
    <x v="45"/>
    <x v="48"/>
  </r>
  <r>
    <s v="ATY-28980-884"/>
    <x v="117"/>
    <s v="50705-17295-NK"/>
    <s v="A-L-0.2"/>
    <n v="6"/>
    <s v="Cristina Aleixo"/>
    <s v="caleixok5@globo.com"/>
    <x v="0"/>
    <s v="Colorado Springs"/>
    <x v="4"/>
    <x v="3"/>
    <x v="4"/>
    <x v="40"/>
    <x v="45"/>
    <x v="48"/>
  </r>
  <r>
    <s v="SWP-88281-918"/>
    <x v="543"/>
    <s v="77657-61366-FY"/>
    <s v="L-L-2.5"/>
    <n v="4"/>
    <s v="Derrek Allpress"/>
    <n v="0"/>
    <x v="0"/>
    <s v="Long Beach"/>
    <x v="4"/>
    <x v="3"/>
    <x v="4"/>
    <x v="40"/>
    <x v="45"/>
    <x v="48"/>
  </r>
  <r>
    <s v="VCE-56531-986"/>
    <x v="544"/>
    <s v="57192-13428-PL"/>
    <s v="R-M-0.5"/>
    <n v="5"/>
    <s v="Rikki Tomkowicz"/>
    <s v="rtomkowiczk7@bravesites.com"/>
    <x v="1"/>
    <s v="Lusk"/>
    <x v="4"/>
    <x v="3"/>
    <x v="4"/>
    <x v="40"/>
    <x v="45"/>
    <x v="48"/>
  </r>
  <r>
    <s v="FVV-75700-005"/>
    <x v="545"/>
    <s v="24891-77957-LU"/>
    <s v="E-D-0.5"/>
    <n v="3"/>
    <s v="Rochette Huscroft"/>
    <s v="rhuscroftk8@jimdo.com"/>
    <x v="0"/>
    <s v="Reno"/>
    <x v="4"/>
    <x v="3"/>
    <x v="4"/>
    <x v="40"/>
    <x v="45"/>
    <x v="48"/>
  </r>
  <r>
    <s v="CFZ-53492-600"/>
    <x v="546"/>
    <s v="64896-18468-BT"/>
    <s v="L-M-0.2"/>
    <n v="1"/>
    <s v="Selle Scurrer"/>
    <s v="sscurrerk9@flavors.me"/>
    <x v="2"/>
    <s v="Upton"/>
    <x v="4"/>
    <x v="3"/>
    <x v="4"/>
    <x v="40"/>
    <x v="45"/>
    <x v="48"/>
  </r>
  <r>
    <s v="LDK-71031-121"/>
    <x v="420"/>
    <s v="84761-40784-SV"/>
    <s v="L-L-2.5"/>
    <n v="1"/>
    <s v="Andie Rudram"/>
    <s v="arudramka@prnewswire.com"/>
    <x v="0"/>
    <s v="Las Vegas"/>
    <x v="4"/>
    <x v="3"/>
    <x v="4"/>
    <x v="40"/>
    <x v="45"/>
    <x v="48"/>
  </r>
  <r>
    <s v="EBA-82404-343"/>
    <x v="547"/>
    <s v="20236-42322-CM"/>
    <s v="L-D-0.2"/>
    <n v="4"/>
    <s v="Leta Clarricoates"/>
    <n v="0"/>
    <x v="0"/>
    <s v="Wilmington"/>
    <x v="4"/>
    <x v="3"/>
    <x v="4"/>
    <x v="40"/>
    <x v="45"/>
    <x v="48"/>
  </r>
  <r>
    <s v="USA-42811-560"/>
    <x v="548"/>
    <s v="49671-11547-WG"/>
    <s v="E-L-0.2"/>
    <n v="2"/>
    <s v="Jacquelyn Maha"/>
    <s v="jmahakc@cyberchimps.com"/>
    <x v="0"/>
    <s v="Reno"/>
    <x v="4"/>
    <x v="3"/>
    <x v="4"/>
    <x v="40"/>
    <x v="45"/>
    <x v="48"/>
  </r>
  <r>
    <s v="SNL-83703-516"/>
    <x v="549"/>
    <s v="57976-33535-WK"/>
    <s v="L-M-2.5"/>
    <n v="3"/>
    <s v="Glory Clemon"/>
    <s v="gclemonkd@networksolutions.com"/>
    <x v="0"/>
    <s v="Tuscaloosa"/>
    <x v="4"/>
    <x v="3"/>
    <x v="4"/>
    <x v="40"/>
    <x v="45"/>
    <x v="48"/>
  </r>
  <r>
    <s v="SUZ-83036-175"/>
    <x v="550"/>
    <s v="55915-19477-MK"/>
    <s v="R-D-0.2"/>
    <n v="5"/>
    <s v="Alica Kift"/>
    <n v="0"/>
    <x v="0"/>
    <s v="Garden Grove"/>
    <x v="4"/>
    <x v="3"/>
    <x v="4"/>
    <x v="40"/>
    <x v="45"/>
    <x v="48"/>
  </r>
  <r>
    <s v="RGM-01187-513"/>
    <x v="551"/>
    <s v="28121-11641-UA"/>
    <s v="E-D-0.2"/>
    <n v="6"/>
    <s v="Babb Pollins"/>
    <s v="bpollinskf@shinystat.com"/>
    <x v="0"/>
    <s v="Shawnee Mission"/>
    <x v="4"/>
    <x v="3"/>
    <x v="4"/>
    <x v="40"/>
    <x v="45"/>
    <x v="48"/>
  </r>
  <r>
    <s v="CZG-01299-952"/>
    <x v="552"/>
    <s v="09540-70637-EV"/>
    <s v="L-D-1"/>
    <n v="2"/>
    <s v="Jarret Toye"/>
    <s v="jtoyekg@pinterest.com"/>
    <x v="1"/>
    <s v="Ballivor"/>
    <x v="4"/>
    <x v="3"/>
    <x v="4"/>
    <x v="40"/>
    <x v="45"/>
    <x v="48"/>
  </r>
  <r>
    <s v="KLD-88731-484"/>
    <x v="553"/>
    <s v="17775-77072-PP"/>
    <s v="A-M-1"/>
    <n v="5"/>
    <s v="Carlie Linskill"/>
    <s v="clinskillkh@sphinn.com"/>
    <x v="0"/>
    <s v="Cincinnati"/>
    <x v="4"/>
    <x v="3"/>
    <x v="4"/>
    <x v="40"/>
    <x v="45"/>
    <x v="48"/>
  </r>
  <r>
    <s v="BQK-38412-229"/>
    <x v="554"/>
    <s v="90392-73338-BC"/>
    <s v="R-L-0.2"/>
    <n v="3"/>
    <s v="Natal Vigrass"/>
    <s v="nvigrasski@ezinearticles.com"/>
    <x v="2"/>
    <s v="Whitwell"/>
    <x v="4"/>
    <x v="3"/>
    <x v="4"/>
    <x v="40"/>
    <x v="45"/>
    <x v="48"/>
  </r>
  <r>
    <s v="TCX-76953-071"/>
    <x v="555"/>
    <s v="94091-86957-HX"/>
    <s v="E-D-0.2"/>
    <n v="5"/>
    <s v="Burlie Issac"/>
    <n v="0"/>
    <x v="0"/>
    <s v="Portland"/>
    <x v="4"/>
    <x v="3"/>
    <x v="4"/>
    <x v="40"/>
    <x v="45"/>
    <x v="48"/>
  </r>
  <r>
    <s v="LIN-88046-551"/>
    <x v="150"/>
    <s v="10725-45724-CO"/>
    <s v="R-L-0.5"/>
    <n v="4"/>
    <s v="Kandace Cragell"/>
    <s v="kcragellkk@google.com"/>
    <x v="1"/>
    <s v="Dungarvan"/>
    <x v="4"/>
    <x v="3"/>
    <x v="4"/>
    <x v="40"/>
    <x v="45"/>
    <x v="48"/>
  </r>
  <r>
    <s v="PMV-54491-220"/>
    <x v="556"/>
    <s v="87242-18006-IR"/>
    <s v="L-M-0.2"/>
    <n v="2"/>
    <s v="Lyon Ibert"/>
    <s v="libertkl@huffingtonpost.com"/>
    <x v="0"/>
    <s v="Sunnyvale"/>
    <x v="4"/>
    <x v="3"/>
    <x v="4"/>
    <x v="40"/>
    <x v="45"/>
    <x v="48"/>
  </r>
  <r>
    <s v="SKA-73676-005"/>
    <x v="327"/>
    <s v="36572-91896-PP"/>
    <s v="L-M-1"/>
    <n v="4"/>
    <s v="Reese Lidgey"/>
    <s v="rlidgeykm@vimeo.com"/>
    <x v="0"/>
    <s v="Memphis"/>
    <x v="4"/>
    <x v="3"/>
    <x v="4"/>
    <x v="40"/>
    <x v="45"/>
    <x v="48"/>
  </r>
  <r>
    <s v="TKH-62197-239"/>
    <x v="557"/>
    <s v="25181-97933-UX"/>
    <s v="A-D-0.5"/>
    <n v="3"/>
    <s v="Tersina Castagne"/>
    <s v="tcastagnekn@wikia.com"/>
    <x v="0"/>
    <s v="Orlando"/>
    <x v="4"/>
    <x v="3"/>
    <x v="4"/>
    <x v="40"/>
    <x v="45"/>
    <x v="48"/>
  </r>
  <r>
    <s v="YXF-57218-272"/>
    <x v="333"/>
    <s v="55374-03175-IA"/>
    <s v="R-M-0.2"/>
    <n v="6"/>
    <s v="Samuele Klaaassen"/>
    <n v="0"/>
    <x v="0"/>
    <s v="Detroit"/>
    <x v="4"/>
    <x v="3"/>
    <x v="4"/>
    <x v="40"/>
    <x v="45"/>
    <x v="48"/>
  </r>
  <r>
    <s v="PKJ-30083-501"/>
    <x v="558"/>
    <s v="76948-43532-JS"/>
    <s v="E-D-0.5"/>
    <n v="2"/>
    <s v="Jordana Halden"/>
    <s v="jhaldenkp@comcast.net"/>
    <x v="1"/>
    <s v="Clones"/>
    <x v="4"/>
    <x v="3"/>
    <x v="4"/>
    <x v="40"/>
    <x v="45"/>
    <x v="48"/>
  </r>
  <r>
    <s v="WTT-91832-645"/>
    <x v="559"/>
    <s v="24344-88599-PP"/>
    <s v="A-M-1"/>
    <n v="3"/>
    <s v="Hussein Olliff"/>
    <s v="holliffkq@sciencedirect.com"/>
    <x v="1"/>
    <s v="Stradbally"/>
    <x v="4"/>
    <x v="3"/>
    <x v="4"/>
    <x v="40"/>
    <x v="45"/>
    <x v="48"/>
  </r>
  <r>
    <s v="TRZ-94735-865"/>
    <x v="310"/>
    <s v="54462-58311-YF"/>
    <s v="L-M-0.5"/>
    <n v="4"/>
    <s v="Teddi Quadri"/>
    <s v="tquadrikr@opensource.org"/>
    <x v="1"/>
    <s v="Ballina"/>
    <x v="4"/>
    <x v="3"/>
    <x v="4"/>
    <x v="40"/>
    <x v="45"/>
    <x v="48"/>
  </r>
  <r>
    <s v="UDB-09651-780"/>
    <x v="560"/>
    <s v="90767-92589-LV"/>
    <s v="E-D-0.5"/>
    <n v="2"/>
    <s v="Felita Eshmade"/>
    <s v="feshmadeks@umn.edu"/>
    <x v="0"/>
    <s v="Richmond"/>
    <x v="4"/>
    <x v="3"/>
    <x v="4"/>
    <x v="40"/>
    <x v="45"/>
    <x v="48"/>
  </r>
  <r>
    <s v="EHJ-82097-549"/>
    <x v="561"/>
    <s v="27517-43747-YD"/>
    <s v="R-D-0.2"/>
    <n v="2"/>
    <s v="Melodie OIlier"/>
    <s v="moilierkt@paginegialle.it"/>
    <x v="1"/>
    <s v="Glasnevin"/>
    <x v="4"/>
    <x v="3"/>
    <x v="4"/>
    <x v="40"/>
    <x v="45"/>
    <x v="48"/>
  </r>
  <r>
    <s v="ZFR-79447-696"/>
    <x v="562"/>
    <s v="77828-66867-KH"/>
    <s v="R-M-0.5"/>
    <n v="1"/>
    <s v="Hazel Iacopini"/>
    <n v="0"/>
    <x v="0"/>
    <s v="Fort Worth"/>
    <x v="4"/>
    <x v="3"/>
    <x v="4"/>
    <x v="40"/>
    <x v="45"/>
    <x v="48"/>
  </r>
  <r>
    <s v="NUU-03893-975"/>
    <x v="563"/>
    <s v="41054-59693-XE"/>
    <s v="L-L-0.5"/>
    <n v="2"/>
    <s v="Vinny Shoebotham"/>
    <s v="vshoebothamkv@redcross.org"/>
    <x v="0"/>
    <s v="Brooklyn"/>
    <x v="4"/>
    <x v="3"/>
    <x v="4"/>
    <x v="40"/>
    <x v="45"/>
    <x v="48"/>
  </r>
  <r>
    <s v="GVG-59542-307"/>
    <x v="564"/>
    <s v="26314-66792-VP"/>
    <s v="E-M-1"/>
    <n v="2"/>
    <s v="Bran Sterke"/>
    <s v="bsterkekw@biblegateway.com"/>
    <x v="0"/>
    <s v="Fort Worth"/>
    <x v="4"/>
    <x v="3"/>
    <x v="4"/>
    <x v="40"/>
    <x v="45"/>
    <x v="48"/>
  </r>
  <r>
    <s v="YLY-35287-172"/>
    <x v="565"/>
    <s v="69410-04668-MA"/>
    <s v="A-D-0.5"/>
    <n v="5"/>
    <s v="Simone Capon"/>
    <s v="scaponkx@craigslist.org"/>
    <x v="0"/>
    <s v="Phoenix"/>
    <x v="4"/>
    <x v="3"/>
    <x v="4"/>
    <x v="40"/>
    <x v="45"/>
    <x v="48"/>
  </r>
  <r>
    <s v="DCI-96254-548"/>
    <x v="566"/>
    <s v="94091-86957-HX"/>
    <s v="A-D-0.2"/>
    <n v="6"/>
    <s v="Philomena Traite"/>
    <s v="ptraiteky@huffingtonpost.com"/>
    <x v="0"/>
    <s v="Washington"/>
    <x v="4"/>
    <x v="3"/>
    <x v="4"/>
    <x v="40"/>
    <x v="45"/>
    <x v="48"/>
  </r>
  <r>
    <s v="KHZ-26264-253"/>
    <x v="160"/>
    <s v="24972-55878-KX"/>
    <s v="L-L-0.2"/>
    <n v="6"/>
    <s v="Foster Constance"/>
    <s v="fconstancekz@ifeng.com"/>
    <x v="0"/>
    <s v="Dallas"/>
    <x v="4"/>
    <x v="3"/>
    <x v="4"/>
    <x v="40"/>
    <x v="45"/>
    <x v="48"/>
  </r>
  <r>
    <s v="AAQ-13644-699"/>
    <x v="567"/>
    <s v="46296-42617-OQ"/>
    <s v="R-D-1"/>
    <n v="4"/>
    <s v="Fernando Sulman"/>
    <s v="fsulmanl0@washington.edu"/>
    <x v="0"/>
    <s v="Asheville"/>
    <x v="4"/>
    <x v="3"/>
    <x v="4"/>
    <x v="40"/>
    <x v="45"/>
    <x v="48"/>
  </r>
  <r>
    <s v="LWL-68108-794"/>
    <x v="568"/>
    <s v="44494-89923-UW"/>
    <s v="A-D-0.5"/>
    <n v="3"/>
    <s v="Dorotea Hollyman"/>
    <s v="dhollymanl1@ibm.com"/>
    <x v="0"/>
    <s v="Billings"/>
    <x v="4"/>
    <x v="3"/>
    <x v="4"/>
    <x v="40"/>
    <x v="45"/>
    <x v="48"/>
  </r>
  <r>
    <s v="JQT-14347-517"/>
    <x v="569"/>
    <s v="11621-09964-ID"/>
    <s v="R-D-1"/>
    <n v="1"/>
    <s v="Lorelei Nardoni"/>
    <s v="lnardonil2@hao123.com"/>
    <x v="0"/>
    <s v="Saint Louis"/>
    <x v="4"/>
    <x v="3"/>
    <x v="4"/>
    <x v="40"/>
    <x v="45"/>
    <x v="48"/>
  </r>
  <r>
    <s v="BMM-86471-923"/>
    <x v="570"/>
    <s v="76319-80715-II"/>
    <s v="L-D-2.5"/>
    <n v="1"/>
    <s v="Dallas Yarham"/>
    <s v="dyarhaml3@moonfruit.com"/>
    <x v="0"/>
    <s v="Independence"/>
    <x v="4"/>
    <x v="3"/>
    <x v="4"/>
    <x v="40"/>
    <x v="45"/>
    <x v="48"/>
  </r>
  <r>
    <s v="IXU-67272-326"/>
    <x v="571"/>
    <s v="91654-79216-IC"/>
    <s v="E-L-0.5"/>
    <n v="5"/>
    <s v="Arlana Ferrea"/>
    <s v="aferreal4@wikia.com"/>
    <x v="0"/>
    <s v="Greensboro"/>
    <x v="4"/>
    <x v="3"/>
    <x v="4"/>
    <x v="40"/>
    <x v="45"/>
    <x v="48"/>
  </r>
  <r>
    <s v="ITE-28312-615"/>
    <x v="139"/>
    <s v="56450-21890-HK"/>
    <s v="E-L-1"/>
    <n v="6"/>
    <s v="Chuck Kendrick"/>
    <s v="ckendrickl5@webnode.com"/>
    <x v="0"/>
    <s v="Monroe"/>
    <x v="4"/>
    <x v="3"/>
    <x v="4"/>
    <x v="40"/>
    <x v="45"/>
    <x v="48"/>
  </r>
  <r>
    <s v="ZHQ-30471-635"/>
    <x v="303"/>
    <s v="40600-58915-WZ"/>
    <s v="L-M-0.5"/>
    <n v="5"/>
    <s v="Sharona Danilchik"/>
    <s v="sdanilchikl6@mit.edu"/>
    <x v="2"/>
    <s v="Halton"/>
    <x v="4"/>
    <x v="3"/>
    <x v="4"/>
    <x v="40"/>
    <x v="45"/>
    <x v="48"/>
  </r>
  <r>
    <s v="LTP-31133-134"/>
    <x v="572"/>
    <s v="66527-94478-PB"/>
    <s v="A-L-0.5"/>
    <n v="3"/>
    <s v="Sarajane Potter"/>
    <n v="0"/>
    <x v="0"/>
    <s v="Fort Worth"/>
    <x v="4"/>
    <x v="3"/>
    <x v="4"/>
    <x v="40"/>
    <x v="45"/>
    <x v="48"/>
  </r>
  <r>
    <s v="ZVQ-26122-859"/>
    <x v="573"/>
    <s v="77154-45038-IH"/>
    <s v="A-L-2.5"/>
    <n v="6"/>
    <s v="Bobby Folomkin"/>
    <s v="bfolomkinl8@yolasite.com"/>
    <x v="0"/>
    <s v="Fargo"/>
    <x v="4"/>
    <x v="3"/>
    <x v="4"/>
    <x v="40"/>
    <x v="45"/>
    <x v="48"/>
  </r>
  <r>
    <s v="MIU-01481-194"/>
    <x v="574"/>
    <s v="08439-55669-AI"/>
    <s v="R-M-1"/>
    <n v="6"/>
    <s v="Rafferty Pursglove"/>
    <s v="rpursglovel9@biblegateway.com"/>
    <x v="0"/>
    <s v="Garland"/>
    <x v="4"/>
    <x v="3"/>
    <x v="4"/>
    <x v="40"/>
    <x v="45"/>
    <x v="48"/>
  </r>
  <r>
    <s v="MIU-01481-194"/>
    <x v="574"/>
    <s v="08439-55669-AI"/>
    <s v="A-L-0.5"/>
    <n v="2"/>
    <s v="Riva De Micoli"/>
    <s v="rdela@usa.gov"/>
    <x v="0"/>
    <s v="Columbus"/>
    <x v="4"/>
    <x v="3"/>
    <x v="4"/>
    <x v="40"/>
    <x v="45"/>
    <x v="48"/>
  </r>
  <r>
    <s v="UEA-72681-629"/>
    <x v="455"/>
    <s v="24972-55878-KX"/>
    <s v="A-L-2.5"/>
    <n v="3"/>
    <s v="Antoine Taunton."/>
    <s v="atauntonlb@bing.com"/>
    <x v="0"/>
    <s v="Austin"/>
    <x v="4"/>
    <x v="3"/>
    <x v="4"/>
    <x v="40"/>
    <x v="45"/>
    <x v="48"/>
  </r>
  <r>
    <s v="CVE-15042-481"/>
    <x v="575"/>
    <s v="24972-55878-KX"/>
    <s v="R-L-1"/>
    <n v="2"/>
    <s v="Krishnah Incogna"/>
    <n v="0"/>
    <x v="0"/>
    <s v="Montgomery"/>
    <x v="4"/>
    <x v="3"/>
    <x v="4"/>
    <x v="40"/>
    <x v="45"/>
    <x v="48"/>
  </r>
  <r>
    <s v="EJA-79176-833"/>
    <x v="576"/>
    <s v="91509-62250-GN"/>
    <s v="R-M-2.5"/>
    <n v="6"/>
    <s v="Dalia Eburah"/>
    <s v="deburahld@google.co.jp"/>
    <x v="2"/>
    <s v="Birmingham"/>
    <x v="4"/>
    <x v="3"/>
    <x v="4"/>
    <x v="40"/>
    <x v="45"/>
    <x v="48"/>
  </r>
  <r>
    <s v="AHQ-40440-522"/>
    <x v="577"/>
    <s v="83833-46106-ZC"/>
    <s v="A-D-1"/>
    <n v="1"/>
    <s v="Martie Brimilcombe"/>
    <s v="mbrimilcombele@cnn.com"/>
    <x v="0"/>
    <s v="Springfield"/>
    <x v="4"/>
    <x v="3"/>
    <x v="4"/>
    <x v="40"/>
    <x v="45"/>
    <x v="48"/>
  </r>
  <r>
    <s v="TID-21626-411"/>
    <x v="578"/>
    <s v="19383-33606-PW"/>
    <s v="R-L-0.5"/>
    <n v="3"/>
    <s v="Suzanna Bollam"/>
    <s v="sbollamlf@list-manage.com"/>
    <x v="0"/>
    <s v="Littleton"/>
    <x v="4"/>
    <x v="3"/>
    <x v="4"/>
    <x v="40"/>
    <x v="45"/>
    <x v="48"/>
  </r>
  <r>
    <s v="RSR-96390-187"/>
    <x v="579"/>
    <s v="67052-76184-CB"/>
    <s v="E-M-1"/>
    <n v="6"/>
    <s v="Mellisa Mebes"/>
    <n v="0"/>
    <x v="0"/>
    <s v="Baltimore"/>
    <x v="4"/>
    <x v="3"/>
    <x v="4"/>
    <x v="40"/>
    <x v="45"/>
    <x v="48"/>
  </r>
  <r>
    <s v="BZE-96093-118"/>
    <x v="91"/>
    <s v="43452-18035-DH"/>
    <s v="L-M-0.2"/>
    <n v="2"/>
    <s v="Alva Filipczak"/>
    <s v="afilipczaklh@ning.com"/>
    <x v="1"/>
    <s v="Moycullen"/>
    <x v="4"/>
    <x v="3"/>
    <x v="4"/>
    <x v="40"/>
    <x v="45"/>
    <x v="48"/>
  </r>
  <r>
    <s v="LOU-41819-242"/>
    <x v="272"/>
    <s v="88060-50676-MV"/>
    <s v="R-M-1"/>
    <n v="2"/>
    <s v="Dorette Hinemoor"/>
    <n v="0"/>
    <x v="0"/>
    <s v="Fort Lauderdale"/>
    <x v="4"/>
    <x v="3"/>
    <x v="4"/>
    <x v="40"/>
    <x v="45"/>
    <x v="48"/>
  </r>
  <r>
    <s v="FND-99527-640"/>
    <x v="65"/>
    <s v="89574-96203-EP"/>
    <s v="E-L-0.5"/>
    <n v="2"/>
    <s v="Rhetta Elnaugh"/>
    <s v="relnaughlj@comsenz.com"/>
    <x v="0"/>
    <s v="San Diego"/>
    <x v="4"/>
    <x v="3"/>
    <x v="4"/>
    <x v="40"/>
    <x v="45"/>
    <x v="48"/>
  </r>
  <r>
    <s v="ASG-27179-958"/>
    <x v="580"/>
    <s v="12607-75113-UV"/>
    <s v="A-M-0.5"/>
    <n v="3"/>
    <s v="Jule Deehan"/>
    <s v="jdeehanlk@about.me"/>
    <x v="0"/>
    <s v="Dallas"/>
    <x v="4"/>
    <x v="3"/>
    <x v="4"/>
    <x v="40"/>
    <x v="45"/>
    <x v="48"/>
  </r>
  <r>
    <s v="YKX-23510-272"/>
    <x v="581"/>
    <s v="56991-05510-PR"/>
    <s v="A-L-2.5"/>
    <n v="2"/>
    <s v="Janella Eden"/>
    <s v="jedenll@e-recht24.de"/>
    <x v="0"/>
    <s v="Joliet"/>
    <x v="4"/>
    <x v="3"/>
    <x v="4"/>
    <x v="40"/>
    <x v="45"/>
    <x v="48"/>
  </r>
  <r>
    <s v="FSA-98650-921"/>
    <x v="489"/>
    <s v="01841-48191-NL"/>
    <s v="L-L-0.5"/>
    <n v="2"/>
    <s v="Devora Maton"/>
    <s v="dmatonlm@utexas.edu"/>
    <x v="0"/>
    <s v="Grand Rapids"/>
    <x v="4"/>
    <x v="3"/>
    <x v="4"/>
    <x v="40"/>
    <x v="45"/>
    <x v="48"/>
  </r>
  <r>
    <s v="ZUR-55774-294"/>
    <x v="234"/>
    <s v="33269-10023-CO"/>
    <s v="L-D-1"/>
    <n v="6"/>
    <s v="Ugo Southerden"/>
    <s v="usoutherdenln@hao123.com"/>
    <x v="0"/>
    <s v="Clearwater"/>
    <x v="4"/>
    <x v="3"/>
    <x v="4"/>
    <x v="40"/>
    <x v="45"/>
    <x v="48"/>
  </r>
  <r>
    <s v="FUO-99821-974"/>
    <x v="175"/>
    <s v="31245-81098-PJ"/>
    <s v="E-M-1"/>
    <n v="3"/>
    <s v="Verne Dunkerley"/>
    <n v="0"/>
    <x v="0"/>
    <s v="Minneapolis"/>
    <x v="4"/>
    <x v="3"/>
    <x v="4"/>
    <x v="40"/>
    <x v="45"/>
    <x v="48"/>
  </r>
  <r>
    <s v="YVH-19865-819"/>
    <x v="582"/>
    <s v="08946-56610-IH"/>
    <s v="L-L-2.5"/>
    <n v="4"/>
    <s v="Lacee Burtenshaw"/>
    <s v="lburtenshawlp@shinystat.com"/>
    <x v="0"/>
    <s v="Lawrenceville"/>
    <x v="4"/>
    <x v="3"/>
    <x v="4"/>
    <x v="40"/>
    <x v="45"/>
    <x v="48"/>
  </r>
  <r>
    <s v="NNF-47422-501"/>
    <x v="583"/>
    <s v="20260-32948-EB"/>
    <s v="E-L-0.2"/>
    <n v="6"/>
    <s v="Adorne Gregoratti"/>
    <s v="agregorattilq@vistaprint.com"/>
    <x v="1"/>
    <s v="Malahide"/>
    <x v="4"/>
    <x v="3"/>
    <x v="4"/>
    <x v="40"/>
    <x v="45"/>
    <x v="48"/>
  </r>
  <r>
    <s v="RJI-71409-490"/>
    <x v="548"/>
    <s v="31613-41626-KX"/>
    <s v="L-M-0.5"/>
    <n v="5"/>
    <s v="Chris Croster"/>
    <s v="ccrosterlr@gov.uk"/>
    <x v="0"/>
    <s v="Tampa"/>
    <x v="4"/>
    <x v="3"/>
    <x v="4"/>
    <x v="40"/>
    <x v="45"/>
    <x v="48"/>
  </r>
  <r>
    <s v="UZL-46108-213"/>
    <x v="584"/>
    <s v="75961-20170-RD"/>
    <s v="L-L-1"/>
    <n v="2"/>
    <s v="Graeme Whitehead"/>
    <s v="gwhiteheadls@hp.com"/>
    <x v="0"/>
    <s v="Nashville"/>
    <x v="4"/>
    <x v="3"/>
    <x v="4"/>
    <x v="40"/>
    <x v="45"/>
    <x v="48"/>
  </r>
  <r>
    <s v="AOX-44467-109"/>
    <x v="64"/>
    <s v="72524-06410-KD"/>
    <s v="A-D-2.5"/>
    <n v="1"/>
    <s v="Haslett Jodrelle"/>
    <s v="hjodrellelt@samsung.com"/>
    <x v="0"/>
    <s v="Miami"/>
    <x v="4"/>
    <x v="3"/>
    <x v="4"/>
    <x v="40"/>
    <x v="45"/>
    <x v="48"/>
  </r>
  <r>
    <s v="TZD-67261-174"/>
    <x v="585"/>
    <s v="01841-48191-NL"/>
    <s v="E-D-2.5"/>
    <n v="1"/>
    <s v="Cam Jewster"/>
    <s v="cjewsterlu@moonfruit.com"/>
    <x v="0"/>
    <s v="Dayton"/>
    <x v="4"/>
    <x v="3"/>
    <x v="4"/>
    <x v="40"/>
    <x v="45"/>
    <x v="48"/>
  </r>
  <r>
    <s v="TBU-64277-625"/>
    <x v="32"/>
    <s v="98918-34330-GY"/>
    <s v="E-M-1"/>
    <n v="6"/>
    <s v="Beryl Osborn"/>
    <n v="0"/>
    <x v="0"/>
    <s v="Chicago"/>
    <x v="4"/>
    <x v="3"/>
    <x v="4"/>
    <x v="40"/>
    <x v="45"/>
    <x v="48"/>
  </r>
  <r>
    <s v="TYP-85767-944"/>
    <x v="586"/>
    <s v="51497-50894-WU"/>
    <s v="R-M-2.5"/>
    <n v="2"/>
    <s v="Kaela Nottram"/>
    <s v="knottramlw@odnoklassniki.ru"/>
    <x v="1"/>
    <s v="Arklow"/>
    <x v="4"/>
    <x v="3"/>
    <x v="4"/>
    <x v="40"/>
    <x v="45"/>
    <x v="48"/>
  </r>
  <r>
    <s v="GTT-73214-334"/>
    <x v="535"/>
    <s v="98636-90072-YE"/>
    <s v="A-L-1"/>
    <n v="6"/>
    <s v="Nobe Buney"/>
    <s v="nbuneylx@jugem.jp"/>
    <x v="0"/>
    <s v="Richmond"/>
    <x v="4"/>
    <x v="3"/>
    <x v="4"/>
    <x v="40"/>
    <x v="45"/>
    <x v="48"/>
  </r>
  <r>
    <s v="WAI-89905-069"/>
    <x v="587"/>
    <s v="47011-57815-HJ"/>
    <s v="A-L-0.5"/>
    <n v="3"/>
    <s v="Silvan McShea"/>
    <s v="smcshealy@photobucket.com"/>
    <x v="0"/>
    <s v="Olympia"/>
    <x v="4"/>
    <x v="3"/>
    <x v="4"/>
    <x v="40"/>
    <x v="45"/>
    <x v="48"/>
  </r>
  <r>
    <s v="OJL-96844-459"/>
    <x v="393"/>
    <s v="61253-98356-VD"/>
    <s v="L-L-0.2"/>
    <n v="5"/>
    <s v="Karylin Huddart"/>
    <s v="khuddartlz@about.com"/>
    <x v="0"/>
    <s v="Arlington"/>
    <x v="4"/>
    <x v="3"/>
    <x v="4"/>
    <x v="40"/>
    <x v="45"/>
    <x v="48"/>
  </r>
  <r>
    <s v="VGI-33205-360"/>
    <x v="588"/>
    <s v="96762-10814-DA"/>
    <s v="L-M-0.5"/>
    <n v="6"/>
    <s v="Jereme Gippes"/>
    <s v="jgippesm0@cloudflare.com"/>
    <x v="2"/>
    <s v="Twyford"/>
    <x v="4"/>
    <x v="3"/>
    <x v="4"/>
    <x v="40"/>
    <x v="45"/>
    <x v="48"/>
  </r>
  <r>
    <s v="PCA-14081-576"/>
    <x v="15"/>
    <s v="63112-10870-LC"/>
    <s v="R-L-0.2"/>
    <n v="5"/>
    <s v="Lukas Whittlesee"/>
    <s v="lwhittleseem1@e-recht24.de"/>
    <x v="0"/>
    <s v="Roanoke"/>
    <x v="4"/>
    <x v="3"/>
    <x v="4"/>
    <x v="40"/>
    <x v="45"/>
    <x v="48"/>
  </r>
  <r>
    <s v="SCS-67069-962"/>
    <x v="507"/>
    <s v="21403-49423-PD"/>
    <s v="A-L-2.5"/>
    <n v="5"/>
    <s v="Gregorius Trengrove"/>
    <s v="gtrengrovem2@elpais.com"/>
    <x v="0"/>
    <s v="New Hyde Park"/>
    <x v="4"/>
    <x v="3"/>
    <x v="4"/>
    <x v="40"/>
    <x v="45"/>
    <x v="48"/>
  </r>
  <r>
    <s v="BDM-03174-485"/>
    <x v="533"/>
    <s v="29581-13303-VB"/>
    <s v="R-L-0.5"/>
    <n v="4"/>
    <s v="Wright Caldero"/>
    <s v="wcalderom3@stumbleupon.com"/>
    <x v="0"/>
    <s v="Anaheim"/>
    <x v="4"/>
    <x v="3"/>
    <x v="4"/>
    <x v="40"/>
    <x v="45"/>
    <x v="48"/>
  </r>
  <r>
    <s v="UJV-32333-364"/>
    <x v="589"/>
    <s v="86110-83695-YS"/>
    <s v="L-L-0.5"/>
    <n v="1"/>
    <s v="Merell Zanazzi"/>
    <n v="0"/>
    <x v="0"/>
    <s v="Lexington"/>
    <x v="4"/>
    <x v="3"/>
    <x v="4"/>
    <x v="40"/>
    <x v="45"/>
    <x v="48"/>
  </r>
  <r>
    <s v="FLI-11493-954"/>
    <x v="590"/>
    <s v="80454-42225-FT"/>
    <s v="A-L-0.5"/>
    <n v="4"/>
    <s v="Jed Kennicott"/>
    <s v="jkennicottm5@yahoo.co.jp"/>
    <x v="0"/>
    <s v="Tampa"/>
    <x v="4"/>
    <x v="3"/>
    <x v="4"/>
    <x v="40"/>
    <x v="45"/>
    <x v="48"/>
  </r>
  <r>
    <s v="IWL-13117-537"/>
    <x v="457"/>
    <s v="29129-60664-KO"/>
    <s v="R-D-0.2"/>
    <n v="3"/>
    <s v="Guenevere Ruggen"/>
    <s v="gruggenm6@nymag.com"/>
    <x v="0"/>
    <s v="San Jose"/>
    <x v="4"/>
    <x v="3"/>
    <x v="4"/>
    <x v="40"/>
    <x v="45"/>
    <x v="48"/>
  </r>
  <r>
    <s v="OAM-76916-748"/>
    <x v="591"/>
    <s v="63025-62939-AN"/>
    <s v="E-D-1"/>
    <n v="3"/>
    <s v="Gonzales Cicculi"/>
    <n v="0"/>
    <x v="0"/>
    <s v="Washington"/>
    <x v="4"/>
    <x v="3"/>
    <x v="4"/>
    <x v="40"/>
    <x v="45"/>
    <x v="48"/>
  </r>
  <r>
    <s v="UMB-11223-710"/>
    <x v="592"/>
    <s v="49012-12987-QT"/>
    <s v="R-D-0.2"/>
    <n v="6"/>
    <s v="Man Fright"/>
    <s v="mfrightm8@harvard.edu"/>
    <x v="1"/>
    <s v="Daingean"/>
    <x v="4"/>
    <x v="3"/>
    <x v="4"/>
    <x v="40"/>
    <x v="45"/>
    <x v="48"/>
  </r>
  <r>
    <s v="LXR-09892-726"/>
    <x v="402"/>
    <s v="50924-94200-SQ"/>
    <s v="R-D-2.5"/>
    <n v="2"/>
    <s v="Boyce Tarte"/>
    <s v="btartem9@aol.com"/>
    <x v="0"/>
    <s v="Olympia"/>
    <x v="4"/>
    <x v="3"/>
    <x v="4"/>
    <x v="40"/>
    <x v="45"/>
    <x v="48"/>
  </r>
  <r>
    <s v="QXX-89943-393"/>
    <x v="593"/>
    <s v="15673-18812-IU"/>
    <s v="R-D-0.2"/>
    <n v="4"/>
    <s v="Caddric Krzysztofiak"/>
    <s v="ckrzysztofiakma@skyrock.com"/>
    <x v="0"/>
    <s v="Mesquite"/>
    <x v="4"/>
    <x v="3"/>
    <x v="4"/>
    <x v="40"/>
    <x v="45"/>
    <x v="48"/>
  </r>
  <r>
    <s v="WVS-57822-366"/>
    <x v="594"/>
    <s v="52151-75971-YY"/>
    <s v="E-M-2.5"/>
    <n v="4"/>
    <s v="Darn Penquet"/>
    <s v="dpenquetmb@diigo.com"/>
    <x v="0"/>
    <s v="Sacramento"/>
    <x v="4"/>
    <x v="3"/>
    <x v="4"/>
    <x v="40"/>
    <x v="45"/>
    <x v="48"/>
  </r>
  <r>
    <s v="CLJ-23403-689"/>
    <x v="77"/>
    <s v="19413-02045-CG"/>
    <s v="R-L-1"/>
    <n v="2"/>
    <s v="Jammie Cloke"/>
    <n v="0"/>
    <x v="2"/>
    <s v="Newton"/>
    <x v="4"/>
    <x v="3"/>
    <x v="4"/>
    <x v="40"/>
    <x v="45"/>
    <x v="48"/>
  </r>
  <r>
    <s v="XNU-83276-288"/>
    <x v="595"/>
    <s v="98185-92775-KT"/>
    <s v="R-M-0.5"/>
    <n v="1"/>
    <s v="Chester Clowton"/>
    <n v="0"/>
    <x v="0"/>
    <s v="Monticello"/>
    <x v="4"/>
    <x v="3"/>
    <x v="4"/>
    <x v="40"/>
    <x v="45"/>
    <x v="48"/>
  </r>
  <r>
    <s v="YOG-94666-679"/>
    <x v="596"/>
    <s v="86991-53901-AT"/>
    <s v="L-D-0.2"/>
    <n v="2"/>
    <s v="Kathleen Diable"/>
    <n v="0"/>
    <x v="2"/>
    <s v="Kinloch"/>
    <x v="4"/>
    <x v="3"/>
    <x v="4"/>
    <x v="40"/>
    <x v="45"/>
    <x v="48"/>
  </r>
  <r>
    <s v="KHG-33953-115"/>
    <x v="514"/>
    <s v="78226-97287-JI"/>
    <s v="L-D-0.5"/>
    <n v="3"/>
    <s v="Koren Ferretti"/>
    <s v="kferrettimf@huffingtonpost.com"/>
    <x v="1"/>
    <s v="Balrothery"/>
    <x v="4"/>
    <x v="3"/>
    <x v="4"/>
    <x v="40"/>
    <x v="45"/>
    <x v="48"/>
  </r>
  <r>
    <s v="MHD-95615-696"/>
    <x v="54"/>
    <s v="27930-59250-JT"/>
    <s v="R-L-2.5"/>
    <n v="5"/>
    <s v="Agretha Melland"/>
    <s v="amellandmg@pen.io"/>
    <x v="0"/>
    <s v="Jamaica"/>
    <x v="4"/>
    <x v="3"/>
    <x v="4"/>
    <x v="40"/>
    <x v="45"/>
    <x v="48"/>
  </r>
  <r>
    <s v="HBH-64794-080"/>
    <x v="597"/>
    <s v="40560-18556-YE"/>
    <s v="R-D-0.2"/>
    <n v="3"/>
    <s v="Chaddie Bennie"/>
    <n v="0"/>
    <x v="0"/>
    <s v="El Paso"/>
    <x v="4"/>
    <x v="3"/>
    <x v="4"/>
    <x v="40"/>
    <x v="45"/>
    <x v="48"/>
  </r>
  <r>
    <s v="CNJ-56058-223"/>
    <x v="105"/>
    <s v="40780-22081-LX"/>
    <s v="L-L-0.5"/>
    <n v="3"/>
    <s v="Alberta Balsdone"/>
    <s v="abalsdonemi@toplist.cz"/>
    <x v="0"/>
    <s v="Largo"/>
    <x v="4"/>
    <x v="3"/>
    <x v="4"/>
    <x v="40"/>
    <x v="45"/>
    <x v="48"/>
  </r>
  <r>
    <s v="KHO-27106-786"/>
    <x v="210"/>
    <s v="01603-43789-TN"/>
    <s v="A-M-1"/>
    <n v="6"/>
    <s v="Brice Romera"/>
    <s v="bromeramj@list-manage.com"/>
    <x v="1"/>
    <s v="Foxrock"/>
    <x v="4"/>
    <x v="3"/>
    <x v="4"/>
    <x v="40"/>
    <x v="45"/>
    <x v="48"/>
  </r>
  <r>
    <s v="KHO-27106-786"/>
    <x v="210"/>
    <s v="01603-43789-TN"/>
    <s v="L-D-2.5"/>
    <n v="6"/>
    <s v="Micky Glover"/>
    <s v="mglovermk@cnbc.com"/>
    <x v="2"/>
    <s v="Burnside"/>
    <x v="4"/>
    <x v="3"/>
    <x v="4"/>
    <x v="40"/>
    <x v="45"/>
    <x v="48"/>
  </r>
  <r>
    <s v="YAC-50329-982"/>
    <x v="598"/>
    <s v="75419-92838-TI"/>
    <s v="E-M-2.5"/>
    <n v="1"/>
    <s v="Conchita Bryde"/>
    <s v="cbrydeml@tuttocitta.it"/>
    <x v="0"/>
    <s v="Oklahoma City"/>
    <x v="4"/>
    <x v="3"/>
    <x v="4"/>
    <x v="40"/>
    <x v="45"/>
    <x v="48"/>
  </r>
  <r>
    <s v="VVL-95291-039"/>
    <x v="360"/>
    <s v="96516-97464-MF"/>
    <s v="E-L-0.2"/>
    <n v="2"/>
    <s v="Silvanus Enefer"/>
    <s v="senefermm@blog.com"/>
    <x v="0"/>
    <s v="Washington"/>
    <x v="4"/>
    <x v="3"/>
    <x v="4"/>
    <x v="40"/>
    <x v="45"/>
    <x v="48"/>
  </r>
  <r>
    <s v="VUT-20974-364"/>
    <x v="62"/>
    <s v="90285-56295-PO"/>
    <s v="R-M-0.5"/>
    <n v="6"/>
    <s v="Lenci Haggerstone"/>
    <s v="lhaggerstonemn@independent.co.uk"/>
    <x v="0"/>
    <s v="Atlanta"/>
    <x v="4"/>
    <x v="3"/>
    <x v="4"/>
    <x v="40"/>
    <x v="45"/>
    <x v="48"/>
  </r>
  <r>
    <s v="SFC-34054-213"/>
    <x v="599"/>
    <s v="08100-71102-HQ"/>
    <s v="L-L-0.5"/>
    <n v="4"/>
    <s v="Marvin Gundry"/>
    <s v="mgundrymo@omniture.com"/>
    <x v="1"/>
    <s v="Castlebridge"/>
    <x v="4"/>
    <x v="3"/>
    <x v="4"/>
    <x v="40"/>
    <x v="45"/>
    <x v="48"/>
  </r>
  <r>
    <s v="UDS-04807-593"/>
    <x v="600"/>
    <s v="84074-28110-OV"/>
    <s v="L-D-0.5"/>
    <n v="2"/>
    <s v="Bayard Wellan"/>
    <s v="bwellanmp@cafepress.com"/>
    <x v="0"/>
    <s v="Buffalo"/>
    <x v="4"/>
    <x v="3"/>
    <x v="4"/>
    <x v="40"/>
    <x v="45"/>
    <x v="48"/>
  </r>
  <r>
    <s v="FWE-98471-488"/>
    <x v="601"/>
    <s v="27930-59250-JT"/>
    <s v="L-L-1"/>
    <n v="5"/>
    <s v="Allis Wilmore"/>
    <n v="0"/>
    <x v="0"/>
    <s v="Houston"/>
    <x v="4"/>
    <x v="3"/>
    <x v="4"/>
    <x v="40"/>
    <x v="45"/>
    <x v="48"/>
  </r>
  <r>
    <s v="RAU-17060-674"/>
    <x v="602"/>
    <s v="12747-63766-EU"/>
    <s v="L-L-0.2"/>
    <n v="1"/>
    <s v="Caddric Atcheson"/>
    <s v="catchesonmr@xinhuanet.com"/>
    <x v="0"/>
    <s v="Washington"/>
    <x v="4"/>
    <x v="3"/>
    <x v="4"/>
    <x v="40"/>
    <x v="45"/>
    <x v="48"/>
  </r>
  <r>
    <s v="AOL-13866-711"/>
    <x v="603"/>
    <s v="83490-88357-LJ"/>
    <s v="E-M-1"/>
    <n v="4"/>
    <s v="Eustace Stenton"/>
    <s v="estentonms@google.it"/>
    <x v="0"/>
    <s v="Austin"/>
    <x v="4"/>
    <x v="3"/>
    <x v="4"/>
    <x v="40"/>
    <x v="45"/>
    <x v="48"/>
  </r>
  <r>
    <s v="NOA-79645-377"/>
    <x v="604"/>
    <s v="53729-30320-XZ"/>
    <s v="R-D-0.5"/>
    <n v="5"/>
    <s v="Ericka Tripp"/>
    <s v="etrippmt@wp.com"/>
    <x v="0"/>
    <s v="Mesa"/>
    <x v="4"/>
    <x v="3"/>
    <x v="4"/>
    <x v="40"/>
    <x v="45"/>
    <x v="48"/>
  </r>
  <r>
    <s v="KMS-49214-806"/>
    <x v="605"/>
    <s v="50384-52703-LA"/>
    <s v="E-L-2.5"/>
    <n v="4"/>
    <s v="Lyndsey MacManus"/>
    <s v="lmacmanusmu@imdb.com"/>
    <x v="0"/>
    <s v="Savannah"/>
    <x v="4"/>
    <x v="3"/>
    <x v="4"/>
    <x v="40"/>
    <x v="45"/>
    <x v="48"/>
  </r>
  <r>
    <s v="ABK-08091-531"/>
    <x v="606"/>
    <s v="53864-36201-FG"/>
    <s v="L-L-1"/>
    <n v="3"/>
    <s v="Tess Benediktovich"/>
    <s v="tbenediktovichmv@ebay.com"/>
    <x v="0"/>
    <s v="Albuquerque"/>
    <x v="4"/>
    <x v="3"/>
    <x v="4"/>
    <x v="40"/>
    <x v="45"/>
    <x v="48"/>
  </r>
  <r>
    <s v="GPT-67705-953"/>
    <x v="446"/>
    <s v="70631-33225-MZ"/>
    <s v="A-M-0.2"/>
    <n v="5"/>
    <s v="Correy Bourner"/>
    <s v="cbournermw@chronoengine.com"/>
    <x v="0"/>
    <s v="Charlotte"/>
    <x v="4"/>
    <x v="3"/>
    <x v="4"/>
    <x v="40"/>
    <x v="45"/>
    <x v="48"/>
  </r>
  <r>
    <s v="JNA-21450-177"/>
    <x v="18"/>
    <s v="54798-14109-HC"/>
    <s v="A-D-1"/>
    <n v="3"/>
    <s v="Uta Kohring"/>
    <s v="ukohringmx@seattletimes.com"/>
    <x v="0"/>
    <s v="San Diego"/>
    <x v="4"/>
    <x v="3"/>
    <x v="4"/>
    <x v="40"/>
    <x v="45"/>
    <x v="48"/>
  </r>
  <r>
    <s v="MPQ-23421-608"/>
    <x v="180"/>
    <s v="08023-52962-ET"/>
    <s v="E-M-0.5"/>
    <n v="5"/>
    <s v="Kandy Heddan"/>
    <s v="kheddanmy@icq.com"/>
    <x v="0"/>
    <s v="Pensacola"/>
    <x v="4"/>
    <x v="3"/>
    <x v="4"/>
    <x v="40"/>
    <x v="45"/>
    <x v="48"/>
  </r>
  <r>
    <s v="NLI-63891-565"/>
    <x v="580"/>
    <s v="41899-00283-VK"/>
    <s v="E-M-0.2"/>
    <n v="5"/>
    <s v="Ibby Charters"/>
    <s v="ichartersmz@abc.net.au"/>
    <x v="0"/>
    <s v="Washington"/>
    <x v="4"/>
    <x v="3"/>
    <x v="4"/>
    <x v="40"/>
    <x v="45"/>
    <x v="48"/>
  </r>
  <r>
    <s v="HHF-36647-854"/>
    <x v="453"/>
    <s v="39011-18412-GR"/>
    <s v="A-D-2.5"/>
    <n v="6"/>
    <s v="Adora Roubert"/>
    <s v="aroubertn0@tmall.com"/>
    <x v="0"/>
    <s v="Port Saint Lucie"/>
    <x v="4"/>
    <x v="3"/>
    <x v="4"/>
    <x v="40"/>
    <x v="45"/>
    <x v="48"/>
  </r>
  <r>
    <s v="SBN-16537-046"/>
    <x v="259"/>
    <s v="60255-12579-PZ"/>
    <s v="A-D-0.2"/>
    <n v="1"/>
    <s v="Hillel Mairs"/>
    <s v="hmairsn1@so-net.ne.jp"/>
    <x v="0"/>
    <s v="Huntington"/>
    <x v="4"/>
    <x v="3"/>
    <x v="4"/>
    <x v="40"/>
    <x v="45"/>
    <x v="48"/>
  </r>
  <r>
    <s v="XZD-44484-632"/>
    <x v="607"/>
    <s v="80541-38332-BP"/>
    <s v="E-M-1"/>
    <n v="2"/>
    <s v="Helaina Rainforth"/>
    <s v="hrainforthn2@blog.com"/>
    <x v="0"/>
    <s v="Philadelphia"/>
    <x v="4"/>
    <x v="3"/>
    <x v="4"/>
    <x v="40"/>
    <x v="45"/>
    <x v="48"/>
  </r>
  <r>
    <s v="XZD-44484-632"/>
    <x v="607"/>
    <s v="80541-38332-BP"/>
    <s v="A-D-0.2"/>
    <n v="2"/>
    <s v="Odelia Skerme"/>
    <s v="oskermen3@hatena.ne.jp"/>
    <x v="0"/>
    <s v="Oklahoma City"/>
    <x v="4"/>
    <x v="3"/>
    <x v="4"/>
    <x v="40"/>
    <x v="45"/>
    <x v="48"/>
  </r>
  <r>
    <s v="IKQ-39946-768"/>
    <x v="385"/>
    <s v="72778-50968-UQ"/>
    <s v="R-M-1"/>
    <n v="6"/>
    <s v="Isac Jesper"/>
    <s v="ijespern4@theglobeandmail.com"/>
    <x v="0"/>
    <s v="Naples"/>
    <x v="4"/>
    <x v="3"/>
    <x v="4"/>
    <x v="40"/>
    <x v="45"/>
    <x v="48"/>
  </r>
  <r>
    <s v="KMB-95211-174"/>
    <x v="608"/>
    <s v="23941-30203-MO"/>
    <s v="R-D-2.5"/>
    <n v="4"/>
    <s v="Lenette Dwerryhouse"/>
    <s v="ldwerryhousen5@gravatar.com"/>
    <x v="0"/>
    <s v="Fort Worth"/>
    <x v="4"/>
    <x v="3"/>
    <x v="4"/>
    <x v="40"/>
    <x v="45"/>
    <x v="48"/>
  </r>
  <r>
    <s v="QWY-99467-368"/>
    <x v="609"/>
    <s v="96434-50068-DZ"/>
    <s v="A-D-2.5"/>
    <n v="1"/>
    <s v="Nadeen Broomer"/>
    <s v="nbroomern6@examiner.com"/>
    <x v="0"/>
    <s v="Omaha"/>
    <x v="4"/>
    <x v="3"/>
    <x v="4"/>
    <x v="40"/>
    <x v="45"/>
    <x v="48"/>
  </r>
  <r>
    <s v="SRG-76791-614"/>
    <x v="147"/>
    <s v="11729-74102-XB"/>
    <s v="E-L-0.5"/>
    <n v="1"/>
    <s v="Konstantine Thoumasson"/>
    <s v="kthoumassonn7@bloglovin.com"/>
    <x v="0"/>
    <s v="Tucson"/>
    <x v="4"/>
    <x v="3"/>
    <x v="4"/>
    <x v="40"/>
    <x v="45"/>
    <x v="48"/>
  </r>
  <r>
    <s v="VSN-94485-621"/>
    <x v="172"/>
    <s v="88116-12604-TE"/>
    <s v="A-D-0.2"/>
    <n v="4"/>
    <s v="Frans Habbergham"/>
    <s v="fhabberghamn8@discovery.com"/>
    <x v="0"/>
    <s v="Sparks"/>
    <x v="4"/>
    <x v="3"/>
    <x v="4"/>
    <x v="40"/>
    <x v="45"/>
    <x v="48"/>
  </r>
  <r>
    <s v="UFZ-24348-219"/>
    <x v="610"/>
    <s v="27930-59250-JT"/>
    <s v="L-M-2.5"/>
    <n v="3"/>
    <s v="Margarette Woolham"/>
    <s v="mwoolhamn9@nature.com"/>
    <x v="0"/>
    <s v="Orlando"/>
    <x v="4"/>
    <x v="3"/>
    <x v="4"/>
    <x v="40"/>
    <x v="45"/>
    <x v="48"/>
  </r>
  <r>
    <s v="UKS-93055-397"/>
    <x v="611"/>
    <s v="13082-41034-PD"/>
    <s v="A-D-2.5"/>
    <n v="5"/>
    <s v="Romain Avrashin"/>
    <s v="ravrashinna@tamu.edu"/>
    <x v="0"/>
    <s v="Washington"/>
    <x v="4"/>
    <x v="3"/>
    <x v="4"/>
    <x v="40"/>
    <x v="45"/>
    <x v="48"/>
  </r>
  <r>
    <s v="AVH-56062-335"/>
    <x v="612"/>
    <s v="18082-74419-QH"/>
    <s v="E-M-0.5"/>
    <n v="5"/>
    <s v="Miran Doidge"/>
    <s v="mdoidgenb@etsy.com"/>
    <x v="0"/>
    <s v="Salinas"/>
    <x v="4"/>
    <x v="3"/>
    <x v="4"/>
    <x v="40"/>
    <x v="45"/>
    <x v="48"/>
  </r>
  <r>
    <s v="HGE-19842-613"/>
    <x v="613"/>
    <s v="49401-45041-ZU"/>
    <s v="R-L-0.5"/>
    <n v="4"/>
    <s v="Janeva Edinboro"/>
    <s v="jedinboronc@reverbnation.com"/>
    <x v="0"/>
    <s v="Fort Lauderdale"/>
    <x v="4"/>
    <x v="3"/>
    <x v="4"/>
    <x v="40"/>
    <x v="45"/>
    <x v="48"/>
  </r>
  <r>
    <s v="WBA-85905-175"/>
    <x v="611"/>
    <s v="41252-45992-VS"/>
    <s v="L-M-0.2"/>
    <n v="1"/>
    <s v="Trumaine Tewelson"/>
    <s v="ttewelsonnd@cdbaby.com"/>
    <x v="0"/>
    <s v="El Paso"/>
    <x v="4"/>
    <x v="3"/>
    <x v="4"/>
    <x v="40"/>
    <x v="45"/>
    <x v="48"/>
  </r>
  <r>
    <s v="DZI-35365-596"/>
    <x v="493"/>
    <s v="54798-14109-HC"/>
    <s v="E-M-0.2"/>
    <n v="2"/>
    <s v="Niles Krimmer"/>
    <s v="nkrimmerne@bbb.org"/>
    <x v="0"/>
    <s v="Glendale"/>
    <x v="4"/>
    <x v="3"/>
    <x v="4"/>
    <x v="40"/>
    <x v="45"/>
    <x v="48"/>
  </r>
  <r>
    <s v="XIR-88982-743"/>
    <x v="614"/>
    <s v="00852-54571-WP"/>
    <s v="E-M-0.2"/>
    <n v="2"/>
    <s v="De Drewitt"/>
    <s v="ddrewittnf@mapquest.com"/>
    <x v="0"/>
    <s v="Alexandria"/>
    <x v="4"/>
    <x v="3"/>
    <x v="4"/>
    <x v="40"/>
    <x v="45"/>
    <x v="48"/>
  </r>
  <r>
    <s v="VUC-72395-865"/>
    <x v="151"/>
    <s v="13321-57602-GK"/>
    <s v="A-D-0.5"/>
    <n v="6"/>
    <s v="Adelheid Gladhill"/>
    <s v="agladhillng@stanford.edu"/>
    <x v="0"/>
    <s v="Baltimore"/>
    <x v="4"/>
    <x v="3"/>
    <x v="4"/>
    <x v="40"/>
    <x v="45"/>
    <x v="48"/>
  </r>
  <r>
    <s v="BQJ-44755-910"/>
    <x v="489"/>
    <s v="75006-89922-VW"/>
    <s v="E-D-2.5"/>
    <n v="6"/>
    <s v="Murielle Lorinez"/>
    <s v="mlorineznh@whitehouse.gov"/>
    <x v="0"/>
    <s v="Evansville"/>
    <x v="4"/>
    <x v="3"/>
    <x v="4"/>
    <x v="40"/>
    <x v="45"/>
    <x v="48"/>
  </r>
  <r>
    <s v="JKC-64636-831"/>
    <x v="615"/>
    <s v="52098-80103-FD"/>
    <s v="A-M-2.5"/>
    <n v="2"/>
    <s v="Edin Mathe"/>
    <n v="0"/>
    <x v="0"/>
    <s v="Lawrenceville"/>
    <x v="4"/>
    <x v="3"/>
    <x v="4"/>
    <x v="40"/>
    <x v="45"/>
    <x v="48"/>
  </r>
  <r>
    <s v="ZKI-78561-066"/>
    <x v="616"/>
    <s v="60121-12432-VU"/>
    <s v="A-D-0.2"/>
    <n v="3"/>
    <s v="Mordy Van Der Vlies"/>
    <s v="mvannj@wikipedia.org"/>
    <x v="0"/>
    <s v="Mobile"/>
    <x v="4"/>
    <x v="3"/>
    <x v="4"/>
    <x v="40"/>
    <x v="45"/>
    <x v="48"/>
  </r>
  <r>
    <s v="IMP-12563-728"/>
    <x v="578"/>
    <s v="68346-14810-UA"/>
    <s v="E-L-0.5"/>
    <n v="6"/>
    <s v="Spencer Wastell"/>
    <n v="0"/>
    <x v="0"/>
    <s v="Midland"/>
    <x v="4"/>
    <x v="3"/>
    <x v="4"/>
    <x v="40"/>
    <x v="45"/>
    <x v="48"/>
  </r>
  <r>
    <s v="MZL-81126-390"/>
    <x v="617"/>
    <s v="48464-99723-HK"/>
    <s v="A-L-0.2"/>
    <n v="6"/>
    <s v="Jemimah Ethelston"/>
    <s v="jethelstonnl@creativecommons.org"/>
    <x v="0"/>
    <s v="Hollywood"/>
    <x v="4"/>
    <x v="3"/>
    <x v="4"/>
    <x v="40"/>
    <x v="45"/>
    <x v="48"/>
  </r>
  <r>
    <s v="MZL-81126-390"/>
    <x v="617"/>
    <s v="48464-99723-HK"/>
    <s v="A-M-0.2"/>
    <n v="2"/>
    <s v="Bobbe Jevon"/>
    <s v="bjevonnm@feedburner.com"/>
    <x v="0"/>
    <s v="Topeka"/>
    <x v="4"/>
    <x v="3"/>
    <x v="4"/>
    <x v="40"/>
    <x v="45"/>
    <x v="48"/>
  </r>
  <r>
    <s v="TVF-57766-608"/>
    <x v="155"/>
    <s v="88420-46464-XE"/>
    <s v="L-D-0.5"/>
    <n v="1"/>
    <s v="Perice Eberz"/>
    <s v="peberznn@woothemes.com"/>
    <x v="0"/>
    <s v="Chico"/>
    <x v="4"/>
    <x v="3"/>
    <x v="4"/>
    <x v="40"/>
    <x v="45"/>
    <x v="48"/>
  </r>
  <r>
    <s v="RUX-37995-892"/>
    <x v="461"/>
    <s v="37762-09530-MP"/>
    <s v="L-D-2.5"/>
    <n v="4"/>
    <s v="Bear Gaish"/>
    <s v="bgaishno@altervista.org"/>
    <x v="0"/>
    <s v="Austin"/>
    <x v="4"/>
    <x v="3"/>
    <x v="4"/>
    <x v="40"/>
    <x v="45"/>
    <x v="48"/>
  </r>
  <r>
    <s v="AVK-76526-953"/>
    <x v="87"/>
    <s v="47268-50127-XY"/>
    <s v="A-D-1"/>
    <n v="2"/>
    <s v="Lynnea Danton"/>
    <s v="ldantonnp@miitbeian.gov.cn"/>
    <x v="0"/>
    <s v="El Paso"/>
    <x v="4"/>
    <x v="3"/>
    <x v="4"/>
    <x v="40"/>
    <x v="45"/>
    <x v="48"/>
  </r>
  <r>
    <s v="RIU-02231-623"/>
    <x v="618"/>
    <s v="25544-84179-QC"/>
    <s v="R-L-0.5"/>
    <n v="5"/>
    <s v="Skipton Morrall"/>
    <s v="smorrallnq@answers.com"/>
    <x v="0"/>
    <s v="Charleston"/>
    <x v="4"/>
    <x v="3"/>
    <x v="4"/>
    <x v="40"/>
    <x v="45"/>
    <x v="48"/>
  </r>
  <r>
    <s v="WFK-99317-827"/>
    <x v="619"/>
    <s v="32058-76765-ZL"/>
    <s v="L-D-2.5"/>
    <n v="3"/>
    <s v="Devan Crownshaw"/>
    <s v="dcrownshawnr@photobucket.com"/>
    <x v="0"/>
    <s v="Allentown"/>
    <x v="4"/>
    <x v="3"/>
    <x v="4"/>
    <x v="40"/>
    <x v="45"/>
    <x v="48"/>
  </r>
  <r>
    <s v="SFD-00372-284"/>
    <x v="440"/>
    <s v="54798-14109-HC"/>
    <s v="L-M-0.2"/>
    <n v="2"/>
    <s v="Kriste Wessel"/>
    <s v="kwesselns@wikispaces.com"/>
    <x v="2"/>
    <s v="London"/>
    <x v="4"/>
    <x v="3"/>
    <x v="4"/>
    <x v="40"/>
    <x v="45"/>
    <x v="48"/>
  </r>
  <r>
    <s v="SXC-62166-515"/>
    <x v="489"/>
    <s v="69171-65646-UC"/>
    <s v="R-L-2.5"/>
    <n v="5"/>
    <s v="Joceline Reddoch"/>
    <s v="jreddochnt@sun.com"/>
    <x v="0"/>
    <s v="Largo"/>
    <x v="4"/>
    <x v="3"/>
    <x v="4"/>
    <x v="40"/>
    <x v="45"/>
    <x v="48"/>
  </r>
  <r>
    <s v="YIE-87008-621"/>
    <x v="620"/>
    <s v="22503-52799-MI"/>
    <s v="L-M-0.5"/>
    <n v="4"/>
    <s v="Shelley Titley"/>
    <s v="stitleynu@whitehouse.gov"/>
    <x v="0"/>
    <s v="Fargo"/>
    <x v="4"/>
    <x v="3"/>
    <x v="4"/>
    <x v="40"/>
    <x v="45"/>
    <x v="48"/>
  </r>
  <r>
    <s v="HRM-94548-288"/>
    <x v="621"/>
    <s v="08934-65581-ZI"/>
    <s v="A-L-2.5"/>
    <n v="6"/>
    <s v="Redd Simao"/>
    <s v="rsimaonv@simplemachines.org"/>
    <x v="0"/>
    <s v="Fort Smith"/>
    <x v="4"/>
    <x v="3"/>
    <x v="4"/>
    <x v="40"/>
    <x v="45"/>
    <x v="48"/>
  </r>
  <r>
    <s v="UJG-34731-295"/>
    <x v="374"/>
    <s v="15764-22559-ZT"/>
    <s v="A-M-2.5"/>
    <n v="1"/>
    <s v="Cece Inker"/>
    <n v="0"/>
    <x v="0"/>
    <s v="Lakeland"/>
    <x v="4"/>
    <x v="3"/>
    <x v="4"/>
    <x v="40"/>
    <x v="45"/>
    <x v="48"/>
  </r>
  <r>
    <s v="TWD-70988-853"/>
    <x v="345"/>
    <s v="87519-68847-ZG"/>
    <s v="L-D-1"/>
    <n v="6"/>
    <s v="Noel Chisholm"/>
    <s v="nchisholmnx@example.com"/>
    <x v="0"/>
    <s v="Knoxville"/>
    <x v="4"/>
    <x v="3"/>
    <x v="4"/>
    <x v="40"/>
    <x v="45"/>
    <x v="48"/>
  </r>
  <r>
    <s v="CIX-22904-641"/>
    <x v="622"/>
    <s v="78012-56878-UB"/>
    <s v="R-M-1"/>
    <n v="1"/>
    <s v="Grazia Oats"/>
    <s v="goatsny@live.com"/>
    <x v="0"/>
    <s v="Los Angeles"/>
    <x v="4"/>
    <x v="3"/>
    <x v="4"/>
    <x v="40"/>
    <x v="45"/>
    <x v="48"/>
  </r>
  <r>
    <s v="DLV-65840-759"/>
    <x v="623"/>
    <s v="77192-72145-RG"/>
    <s v="L-M-1"/>
    <n v="2"/>
    <s v="Meade Birkin"/>
    <s v="mbirkinnz@java.com"/>
    <x v="0"/>
    <s v="Miami"/>
    <x v="4"/>
    <x v="3"/>
    <x v="4"/>
    <x v="40"/>
    <x v="45"/>
    <x v="48"/>
  </r>
  <r>
    <s v="RXN-55491-201"/>
    <x v="354"/>
    <s v="86071-79238-CX"/>
    <s v="R-L-0.2"/>
    <n v="6"/>
    <s v="Ronda Pyson"/>
    <s v="rpysono0@constantcontact.com"/>
    <x v="1"/>
    <s v="Clones"/>
    <x v="4"/>
    <x v="3"/>
    <x v="4"/>
    <x v="40"/>
    <x v="45"/>
    <x v="48"/>
  </r>
  <r>
    <s v="UHK-63283-868"/>
    <x v="624"/>
    <s v="16809-16936-WF"/>
    <s v="A-M-0.5"/>
    <n v="1"/>
    <s v="Rachele Ebrall"/>
    <n v="0"/>
    <x v="0"/>
    <s v="Chicago"/>
    <x v="4"/>
    <x v="3"/>
    <x v="4"/>
    <x v="40"/>
    <x v="45"/>
    <x v="48"/>
  </r>
  <r>
    <s v="PJC-31401-893"/>
    <x v="561"/>
    <s v="11212-69985-ZJ"/>
    <s v="A-D-0.5"/>
    <n v="3"/>
    <s v="Rafaela Treacher"/>
    <s v="rtreachero2@usa.gov"/>
    <x v="1"/>
    <s v="Greystones"/>
    <x v="4"/>
    <x v="3"/>
    <x v="4"/>
    <x v="40"/>
    <x v="45"/>
    <x v="48"/>
  </r>
  <r>
    <s v="HHO-79903-185"/>
    <x v="42"/>
    <s v="53893-01719-CL"/>
    <s v="A-L-2.5"/>
    <n v="1"/>
    <s v="Bee Fattorini"/>
    <s v="bfattorinio3@quantcast.com"/>
    <x v="1"/>
    <s v="Monaghan"/>
    <x v="4"/>
    <x v="3"/>
    <x v="4"/>
    <x v="40"/>
    <x v="45"/>
    <x v="48"/>
  </r>
  <r>
    <s v="YWM-07310-594"/>
    <x v="267"/>
    <s v="66028-99867-WJ"/>
    <s v="E-M-0.5"/>
    <n v="5"/>
    <s v="Margie Palleske"/>
    <s v="mpalleskeo4@nyu.edu"/>
    <x v="0"/>
    <s v="Pompano Beach"/>
    <x v="4"/>
    <x v="3"/>
    <x v="4"/>
    <x v="40"/>
    <x v="45"/>
    <x v="48"/>
  </r>
  <r>
    <s v="FHD-94983-982"/>
    <x v="625"/>
    <s v="62839-56723-CH"/>
    <s v="R-M-0.5"/>
    <n v="3"/>
    <s v="Alexina Randals"/>
    <n v="0"/>
    <x v="0"/>
    <s v="Sacramento"/>
    <x v="4"/>
    <x v="3"/>
    <x v="4"/>
    <x v="40"/>
    <x v="45"/>
    <x v="48"/>
  </r>
  <r>
    <s v="WQK-10857-119"/>
    <x v="616"/>
    <s v="96849-52854-CR"/>
    <s v="E-D-0.5"/>
    <n v="1"/>
    <s v="Filip Antcliffe"/>
    <s v="fantcliffeo6@amazon.co.jp"/>
    <x v="1"/>
    <s v="Clonskeagh"/>
    <x v="4"/>
    <x v="3"/>
    <x v="4"/>
    <x v="40"/>
    <x v="45"/>
    <x v="48"/>
  </r>
  <r>
    <s v="DXA-50313-073"/>
    <x v="626"/>
    <s v="19755-55847-VW"/>
    <s v="E-L-1"/>
    <n v="2"/>
    <s v="Peyter Matignon"/>
    <s v="pmatignono7@harvard.edu"/>
    <x v="2"/>
    <s v="Kirkton"/>
    <x v="4"/>
    <x v="3"/>
    <x v="4"/>
    <x v="40"/>
    <x v="45"/>
    <x v="48"/>
  </r>
  <r>
    <s v="ONW-00560-570"/>
    <x v="52"/>
    <s v="32900-82606-BO"/>
    <s v="A-M-1"/>
    <n v="2"/>
    <s v="Claudie Weond"/>
    <s v="cweondo8@theglobeandmail.com"/>
    <x v="0"/>
    <s v="Asheville"/>
    <x v="4"/>
    <x v="3"/>
    <x v="4"/>
    <x v="40"/>
    <x v="45"/>
    <x v="48"/>
  </r>
  <r>
    <s v="BRJ-19414-277"/>
    <x v="622"/>
    <s v="16809-16936-WF"/>
    <s v="R-M-0.2"/>
    <n v="4"/>
    <s v="Modesty MacConnechie"/>
    <s v="mmacconnechieo9@reuters.com"/>
    <x v="0"/>
    <s v="Charleston"/>
    <x v="4"/>
    <x v="3"/>
    <x v="4"/>
    <x v="40"/>
    <x v="45"/>
    <x v="48"/>
  </r>
  <r>
    <s v="MIQ-16322-908"/>
    <x v="627"/>
    <s v="20118-28138-QD"/>
    <s v="A-L-1"/>
    <n v="2"/>
    <s v="Jaquenette Skentelbery"/>
    <s v="jskentelberyoa@paypal.com"/>
    <x v="0"/>
    <s v="Houston"/>
    <x v="4"/>
    <x v="3"/>
    <x v="4"/>
    <x v="40"/>
    <x v="45"/>
    <x v="48"/>
  </r>
  <r>
    <s v="MVO-39328-830"/>
    <x v="628"/>
    <s v="84057-45461-AH"/>
    <s v="L-M-0.5"/>
    <n v="5"/>
    <s v="Orazio Comber"/>
    <s v="ocomberob@goo.gl"/>
    <x v="1"/>
    <s v="Confey"/>
    <x v="4"/>
    <x v="3"/>
    <x v="4"/>
    <x v="40"/>
    <x v="45"/>
    <x v="48"/>
  </r>
  <r>
    <s v="MVO-39328-830"/>
    <x v="628"/>
    <s v="84057-45461-AH"/>
    <s v="A-L-0.5"/>
    <n v="6"/>
    <s v="Domini Bram"/>
    <s v="dbramoc@ifeng.com"/>
    <x v="0"/>
    <s v="Washington"/>
    <x v="4"/>
    <x v="3"/>
    <x v="4"/>
    <x v="40"/>
    <x v="45"/>
    <x v="48"/>
  </r>
  <r>
    <s v="NTJ-88319-746"/>
    <x v="629"/>
    <s v="90882-88130-KQ"/>
    <s v="L-L-0.5"/>
    <n v="3"/>
    <s v="Zachary Tramel"/>
    <s v="ztramelod@netlog.com"/>
    <x v="0"/>
    <s v="Newark"/>
    <x v="4"/>
    <x v="3"/>
    <x v="4"/>
    <x v="40"/>
    <x v="45"/>
    <x v="48"/>
  </r>
  <r>
    <s v="LCY-24377-948"/>
    <x v="630"/>
    <s v="21617-79890-DD"/>
    <s v="R-L-2.5"/>
    <n v="1"/>
    <s v="Izaak Primak"/>
    <n v="0"/>
    <x v="0"/>
    <s v="Seattle"/>
    <x v="4"/>
    <x v="3"/>
    <x v="4"/>
    <x v="40"/>
    <x v="45"/>
    <x v="48"/>
  </r>
  <r>
    <s v="FWD-85967-769"/>
    <x v="631"/>
    <s v="20256-54689-LO"/>
    <s v="E-D-0.2"/>
    <n v="3"/>
    <s v="Brittani Thoresbie"/>
    <n v="0"/>
    <x v="0"/>
    <s v="Englewood"/>
    <x v="4"/>
    <x v="3"/>
    <x v="4"/>
    <x v="40"/>
    <x v="45"/>
    <x v="48"/>
  </r>
  <r>
    <s v="KTO-53793-109"/>
    <x v="229"/>
    <s v="17572-27091-AA"/>
    <s v="R-L-0.2"/>
    <n v="2"/>
    <s v="Constanta Hatfull"/>
    <s v="chatfullog@ebay.com"/>
    <x v="0"/>
    <s v="Rockford"/>
    <x v="4"/>
    <x v="3"/>
    <x v="4"/>
    <x v="40"/>
    <x v="45"/>
    <x v="48"/>
  </r>
  <r>
    <s v="OCK-89033-348"/>
    <x v="632"/>
    <s v="82300-88786-UE"/>
    <s v="A-L-0.2"/>
    <n v="6"/>
    <s v="Bobbe Castagneto"/>
    <n v="0"/>
    <x v="0"/>
    <s v="Billings"/>
    <x v="4"/>
    <x v="3"/>
    <x v="4"/>
    <x v="40"/>
    <x v="45"/>
    <x v="48"/>
  </r>
  <r>
    <s v="GPZ-36017-366"/>
    <x v="633"/>
    <s v="65732-22589-OW"/>
    <s v="A-D-2.5"/>
    <n v="5"/>
    <s v="Chastity Swatman"/>
    <s v="cswatmanoi@cbslocal.com"/>
    <x v="0"/>
    <s v="Atlanta"/>
    <x v="4"/>
    <x v="3"/>
    <x v="4"/>
    <x v="40"/>
    <x v="45"/>
    <x v="48"/>
  </r>
  <r>
    <s v="BZP-33213-637"/>
    <x v="95"/>
    <s v="77175-09826-SF"/>
    <s v="A-M-2.5"/>
    <n v="3"/>
    <s v="Lindon Agnolo"/>
    <s v="lagnolooj@pinterest.com"/>
    <x v="0"/>
    <s v="Tulsa"/>
    <x v="4"/>
    <x v="3"/>
    <x v="4"/>
    <x v="40"/>
    <x v="45"/>
    <x v="48"/>
  </r>
  <r>
    <s v="WFH-21507-708"/>
    <x v="521"/>
    <s v="07237-32539-NB"/>
    <s v="R-D-0.5"/>
    <n v="1"/>
    <s v="Delainey Kiddy"/>
    <s v="dkiddyok@fda.gov"/>
    <x v="0"/>
    <s v="Fresno"/>
    <x v="4"/>
    <x v="3"/>
    <x v="4"/>
    <x v="40"/>
    <x v="45"/>
    <x v="48"/>
  </r>
  <r>
    <s v="HST-96923-073"/>
    <x v="76"/>
    <s v="54722-76431-EX"/>
    <s v="R-D-2.5"/>
    <n v="6"/>
    <s v="Helli Petroulis"/>
    <s v="hpetroulisol@state.tx.us"/>
    <x v="1"/>
    <s v="Mullagh"/>
    <x v="4"/>
    <x v="3"/>
    <x v="4"/>
    <x v="40"/>
    <x v="45"/>
    <x v="48"/>
  </r>
  <r>
    <s v="ENN-79947-323"/>
    <x v="634"/>
    <s v="67847-82662-TE"/>
    <s v="L-M-0.5"/>
    <n v="2"/>
    <s v="Marty Scholl"/>
    <s v="mschollom@taobao.com"/>
    <x v="0"/>
    <s v="San Francisco"/>
    <x v="4"/>
    <x v="3"/>
    <x v="4"/>
    <x v="40"/>
    <x v="45"/>
    <x v="48"/>
  </r>
  <r>
    <s v="BHA-47429-889"/>
    <x v="635"/>
    <s v="51114-51191-EW"/>
    <s v="E-L-0.2"/>
    <n v="3"/>
    <s v="Kienan Ferson"/>
    <s v="kfersonon@g.co"/>
    <x v="0"/>
    <s v="Mobile"/>
    <x v="4"/>
    <x v="3"/>
    <x v="4"/>
    <x v="40"/>
    <x v="45"/>
    <x v="48"/>
  </r>
  <r>
    <s v="SZY-63017-318"/>
    <x v="636"/>
    <s v="91809-58808-TV"/>
    <s v="A-L-0.2"/>
    <n v="2"/>
    <s v="Blake Kelloway"/>
    <s v="bkellowayoo@omniture.com"/>
    <x v="0"/>
    <s v="San Francisco"/>
    <x v="4"/>
    <x v="3"/>
    <x v="4"/>
    <x v="40"/>
    <x v="45"/>
    <x v="48"/>
  </r>
  <r>
    <s v="LCU-93317-340"/>
    <x v="637"/>
    <s v="84996-26826-DK"/>
    <s v="R-D-0.2"/>
    <n v="1"/>
    <s v="Scarlett Oliffe"/>
    <s v="soliffeop@yellowbook.com"/>
    <x v="0"/>
    <s v="Jamaica"/>
    <x v="4"/>
    <x v="3"/>
    <x v="4"/>
    <x v="40"/>
    <x v="45"/>
    <x v="48"/>
  </r>
  <r>
    <s v="UOM-71431-481"/>
    <x v="182"/>
    <s v="65732-22589-OW"/>
    <s v="R-D-2.5"/>
    <n v="1"/>
    <s v="Kippie Marrison"/>
    <s v="kmarrisonoq@dropbox.com"/>
    <x v="0"/>
    <s v="Denver"/>
    <x v="4"/>
    <x v="3"/>
    <x v="4"/>
    <x v="40"/>
    <x v="45"/>
    <x v="48"/>
  </r>
  <r>
    <s v="PJH-42618-877"/>
    <x v="479"/>
    <s v="93676-95250-XJ"/>
    <s v="A-D-2.5"/>
    <n v="5"/>
    <s v="Celestia Dolohunty"/>
    <s v="cdolohuntyor@dailymail.co.uk"/>
    <x v="0"/>
    <s v="San Diego"/>
    <x v="4"/>
    <x v="3"/>
    <x v="4"/>
    <x v="40"/>
    <x v="45"/>
    <x v="48"/>
  </r>
  <r>
    <s v="XED-90333-402"/>
    <x v="638"/>
    <s v="28300-14355-GF"/>
    <s v="E-M-0.2"/>
    <n v="5"/>
    <s v="Patsy Vasilenko"/>
    <s v="pvasilenkoos@addtoany.com"/>
    <x v="2"/>
    <s v="Preston"/>
    <x v="4"/>
    <x v="3"/>
    <x v="4"/>
    <x v="40"/>
    <x v="45"/>
    <x v="48"/>
  </r>
  <r>
    <s v="IKK-62234-199"/>
    <x v="639"/>
    <s v="91190-84826-IQ"/>
    <s v="L-L-0.5"/>
    <n v="6"/>
    <s v="Raphaela Schankelborg"/>
    <s v="rschankelborgot@ameblo.jp"/>
    <x v="0"/>
    <s v="Pittsburgh"/>
    <x v="4"/>
    <x v="3"/>
    <x v="4"/>
    <x v="40"/>
    <x v="45"/>
    <x v="48"/>
  </r>
  <r>
    <s v="KAW-95195-329"/>
    <x v="640"/>
    <s v="34570-99384-AF"/>
    <s v="R-D-2.5"/>
    <n v="4"/>
    <s v="Sharity Wickens"/>
    <n v="0"/>
    <x v="1"/>
    <s v="Cavan"/>
    <x v="4"/>
    <x v="3"/>
    <x v="4"/>
    <x v="40"/>
    <x v="45"/>
    <x v="48"/>
  </r>
  <r>
    <s v="QDO-57268-842"/>
    <x v="612"/>
    <s v="57808-90533-UE"/>
    <s v="E-M-2.5"/>
    <n v="5"/>
    <s v="Derick Snow"/>
    <n v="0"/>
    <x v="0"/>
    <s v="New York City"/>
    <x v="4"/>
    <x v="3"/>
    <x v="4"/>
    <x v="40"/>
    <x v="45"/>
    <x v="48"/>
  </r>
  <r>
    <s v="IIZ-24416-212"/>
    <x v="641"/>
    <s v="76060-30540-LB"/>
    <s v="R-D-0.5"/>
    <n v="6"/>
    <s v="Baxy Cargen"/>
    <s v="bcargenow@geocities.jp"/>
    <x v="0"/>
    <s v="Seattle"/>
    <x v="4"/>
    <x v="3"/>
    <x v="4"/>
    <x v="40"/>
    <x v="45"/>
    <x v="48"/>
  </r>
  <r>
    <s v="AWP-11469-510"/>
    <x v="36"/>
    <s v="76730-63769-ND"/>
    <s v="E-D-1"/>
    <n v="2"/>
    <s v="Ryann Stickler"/>
    <s v="rsticklerox@printfriendly.com"/>
    <x v="2"/>
    <s v="Birmingham"/>
    <x v="4"/>
    <x v="3"/>
    <x v="4"/>
    <x v="40"/>
    <x v="45"/>
    <x v="48"/>
  </r>
  <r>
    <s v="KXA-27983-918"/>
    <x v="642"/>
    <s v="96042-27290-EQ"/>
    <s v="R-L-0.5"/>
    <n v="5"/>
    <s v="Daryn Cassius"/>
    <n v="0"/>
    <x v="0"/>
    <s v="Battle Creek"/>
    <x v="4"/>
    <x v="3"/>
    <x v="4"/>
    <x v="40"/>
    <x v="45"/>
    <x v="48"/>
  </r>
  <r>
    <s v="VKQ-39009-292"/>
    <x v="219"/>
    <s v="57808-90533-UE"/>
    <s v="L-M-1"/>
    <n v="5"/>
    <s v="Bud Danett"/>
    <s v="bdanettoz@kickstarter.com"/>
    <x v="1"/>
    <s v="Edgeworthstown"/>
    <x v="4"/>
    <x v="3"/>
    <x v="4"/>
    <x v="40"/>
    <x v="45"/>
    <x v="48"/>
  </r>
  <r>
    <s v="PDB-98743-282"/>
    <x v="643"/>
    <s v="51940-02669-OR"/>
    <s v="L-L-1"/>
    <n v="3"/>
    <s v="Skelly Dolohunty"/>
    <n v="0"/>
    <x v="1"/>
    <s v="Ballymun"/>
    <x v="4"/>
    <x v="3"/>
    <x v="4"/>
    <x v="40"/>
    <x v="45"/>
    <x v="48"/>
  </r>
  <r>
    <s v="SXW-34014-556"/>
    <x v="644"/>
    <s v="99144-98314-GN"/>
    <s v="R-L-0.2"/>
    <n v="1"/>
    <s v="Drake Jevon"/>
    <s v="djevonp1@ibm.com"/>
    <x v="0"/>
    <s v="Houston"/>
    <x v="4"/>
    <x v="3"/>
    <x v="4"/>
    <x v="40"/>
    <x v="45"/>
    <x v="48"/>
  </r>
  <r>
    <s v="QOJ-38788-727"/>
    <x v="136"/>
    <s v="16358-63919-CE"/>
    <s v="E-M-2.5"/>
    <n v="5"/>
    <s v="Hall Ranner"/>
    <s v="hrannerp2@omniture.com"/>
    <x v="0"/>
    <s v="Cincinnati"/>
    <x v="4"/>
    <x v="3"/>
    <x v="4"/>
    <x v="40"/>
    <x v="45"/>
    <x v="48"/>
  </r>
  <r>
    <s v="TGF-38649-658"/>
    <x v="645"/>
    <s v="67743-54817-UT"/>
    <s v="L-M-0.5"/>
    <n v="2"/>
    <s v="Berkly Imrie"/>
    <s v="bimriep3@addtoany.com"/>
    <x v="0"/>
    <s v="Fresno"/>
    <x v="4"/>
    <x v="3"/>
    <x v="4"/>
    <x v="40"/>
    <x v="45"/>
    <x v="48"/>
  </r>
  <r>
    <s v="EAI-25194-209"/>
    <x v="646"/>
    <s v="44601-51441-BH"/>
    <s v="A-L-2.5"/>
    <n v="5"/>
    <s v="Dorey Sopper"/>
    <s v="dsopperp4@eventbrite.com"/>
    <x v="0"/>
    <s v="Saint Paul"/>
    <x v="4"/>
    <x v="3"/>
    <x v="4"/>
    <x v="40"/>
    <x v="45"/>
    <x v="48"/>
  </r>
  <r>
    <s v="IJK-34441-720"/>
    <x v="647"/>
    <s v="97201-58870-WB"/>
    <s v="A-M-0.5"/>
    <n v="6"/>
    <s v="Darcy Lochran"/>
    <n v="0"/>
    <x v="0"/>
    <s v="El Paso"/>
    <x v="4"/>
    <x v="3"/>
    <x v="4"/>
    <x v="40"/>
    <x v="45"/>
    <x v="48"/>
  </r>
  <r>
    <s v="ZMC-00336-619"/>
    <x v="591"/>
    <s v="19849-12926-QF"/>
    <s v="A-M-0.5"/>
    <n v="4"/>
    <s v="Lauritz Ledgley"/>
    <s v="lledgleyp6@de.vu"/>
    <x v="0"/>
    <s v="Des Moines"/>
    <x v="4"/>
    <x v="3"/>
    <x v="4"/>
    <x v="40"/>
    <x v="45"/>
    <x v="48"/>
  </r>
  <r>
    <s v="UPX-54529-618"/>
    <x v="648"/>
    <s v="40535-56770-UM"/>
    <s v="L-D-1"/>
    <n v="3"/>
    <s v="Tawnya Menary"/>
    <s v="tmenaryp7@phoca.cz"/>
    <x v="0"/>
    <s v="Portland"/>
    <x v="4"/>
    <x v="3"/>
    <x v="4"/>
    <x v="40"/>
    <x v="45"/>
    <x v="48"/>
  </r>
  <r>
    <s v="DLX-01059-899"/>
    <x v="191"/>
    <s v="74940-09646-MU"/>
    <s v="R-L-1"/>
    <n v="5"/>
    <s v="Gustaf Ciccotti"/>
    <s v="gciccottip8@so-net.ne.jp"/>
    <x v="0"/>
    <s v="Houston"/>
    <x v="4"/>
    <x v="3"/>
    <x v="4"/>
    <x v="40"/>
    <x v="45"/>
    <x v="48"/>
  </r>
  <r>
    <s v="MEK-85120-243"/>
    <x v="649"/>
    <s v="06623-54610-HC"/>
    <s v="R-L-0.2"/>
    <n v="3"/>
    <s v="Bobbe Renner"/>
    <n v="0"/>
    <x v="0"/>
    <s v="Durham"/>
    <x v="4"/>
    <x v="3"/>
    <x v="4"/>
    <x v="40"/>
    <x v="45"/>
    <x v="48"/>
  </r>
  <r>
    <s v="NFI-37188-246"/>
    <x v="553"/>
    <s v="89490-75361-AF"/>
    <s v="A-D-2.5"/>
    <n v="4"/>
    <s v="Wilton Jallin"/>
    <s v="wjallinpa@pcworld.com"/>
    <x v="0"/>
    <s v="Boston"/>
    <x v="4"/>
    <x v="3"/>
    <x v="4"/>
    <x v="40"/>
    <x v="45"/>
    <x v="48"/>
  </r>
  <r>
    <s v="BXH-62195-013"/>
    <x v="584"/>
    <s v="94526-79230-GZ"/>
    <s v="A-M-1"/>
    <n v="4"/>
    <s v="Mindy Bogey"/>
    <s v="mbogeypb@thetimes.co.uk"/>
    <x v="0"/>
    <s v="Washington"/>
    <x v="4"/>
    <x v="3"/>
    <x v="4"/>
    <x v="40"/>
    <x v="45"/>
    <x v="48"/>
  </r>
  <r>
    <s v="YLK-78851-470"/>
    <x v="650"/>
    <s v="58559-08254-UY"/>
    <s v="R-M-2.5"/>
    <n v="6"/>
    <s v="Paulie Fonzone"/>
    <n v="0"/>
    <x v="0"/>
    <s v="Albany"/>
    <x v="4"/>
    <x v="3"/>
    <x v="4"/>
    <x v="40"/>
    <x v="45"/>
    <x v="48"/>
  </r>
  <r>
    <s v="DXY-76225-633"/>
    <x v="121"/>
    <s v="88574-37083-WX"/>
    <s v="A-M-0.5"/>
    <n v="1"/>
    <s v="Merrile Cobbledick"/>
    <s v="mcobbledickpd@ucsd.edu"/>
    <x v="0"/>
    <s v="Tucson"/>
    <x v="4"/>
    <x v="3"/>
    <x v="4"/>
    <x v="40"/>
    <x v="45"/>
    <x v="48"/>
  </r>
  <r>
    <s v="UHP-24614-199"/>
    <x v="472"/>
    <s v="67953-79896-AC"/>
    <s v="A-M-1"/>
    <n v="4"/>
    <s v="Antonius Lewry"/>
    <s v="alewrype@whitehouse.gov"/>
    <x v="0"/>
    <s v="Montgomery"/>
    <x v="4"/>
    <x v="3"/>
    <x v="4"/>
    <x v="40"/>
    <x v="45"/>
    <x v="48"/>
  </r>
  <r>
    <s v="HBY-35655-049"/>
    <x v="594"/>
    <s v="69207-93422-CQ"/>
    <s v="E-D-2.5"/>
    <n v="3"/>
    <s v="Isis Hessel"/>
    <s v="ihesselpf@ox.ac.uk"/>
    <x v="0"/>
    <s v="Fairbanks"/>
    <x v="4"/>
    <x v="3"/>
    <x v="4"/>
    <x v="40"/>
    <x v="45"/>
    <x v="48"/>
  </r>
  <r>
    <s v="DCE-22886-861"/>
    <x v="89"/>
    <s v="56060-17602-RG"/>
    <s v="E-D-0.2"/>
    <n v="1"/>
    <s v="Harland Trematick"/>
    <n v="0"/>
    <x v="1"/>
    <s v="Monasterevin"/>
    <x v="4"/>
    <x v="3"/>
    <x v="4"/>
    <x v="40"/>
    <x v="45"/>
    <x v="48"/>
  </r>
  <r>
    <s v="QTG-93823-843"/>
    <x v="651"/>
    <s v="46859-14212-FI"/>
    <s v="A-M-0.5"/>
    <n v="1"/>
    <s v="Chloris Sorrell"/>
    <s v="csorrellph@amazon.com"/>
    <x v="2"/>
    <s v="Norton"/>
    <x v="4"/>
    <x v="3"/>
    <x v="4"/>
    <x v="40"/>
    <x v="45"/>
    <x v="48"/>
  </r>
  <r>
    <s v="QTG-93823-843"/>
    <x v="651"/>
    <s v="46859-14212-FI"/>
    <s v="E-D-0.5"/>
    <n v="3"/>
    <s v="Odette Tocque"/>
    <s v="otocquepi@abc.net.au"/>
    <x v="0"/>
    <s v="Clearwater"/>
    <x v="4"/>
    <x v="3"/>
    <x v="4"/>
    <x v="40"/>
    <x v="45"/>
    <x v="48"/>
  </r>
  <r>
    <s v="WFT-16178-396"/>
    <x v="249"/>
    <s v="33555-01585-RP"/>
    <s v="R-D-0.2"/>
    <n v="5"/>
    <s v="Quintina Heavyside"/>
    <s v="qheavysidepj@unc.edu"/>
    <x v="0"/>
    <s v="Lexington"/>
    <x v="4"/>
    <x v="3"/>
    <x v="4"/>
    <x v="40"/>
    <x v="45"/>
    <x v="48"/>
  </r>
  <r>
    <s v="ERC-54560-934"/>
    <x v="652"/>
    <s v="11932-85629-CU"/>
    <s v="R-D-2.5"/>
    <n v="6"/>
    <s v="Hadley Reuven"/>
    <s v="hreuvenpk@whitehouse.gov"/>
    <x v="0"/>
    <s v="Grand Rapids"/>
    <x v="4"/>
    <x v="3"/>
    <x v="4"/>
    <x v="40"/>
    <x v="45"/>
    <x v="48"/>
  </r>
  <r>
    <s v="RUK-78200-416"/>
    <x v="653"/>
    <s v="36192-07175-XC"/>
    <s v="L-D-0.2"/>
    <n v="2"/>
    <s v="Mitch Attwool"/>
    <s v="mattwoolpl@nba.com"/>
    <x v="0"/>
    <s v="Des Moines"/>
    <x v="4"/>
    <x v="3"/>
    <x v="4"/>
    <x v="40"/>
    <x v="45"/>
    <x v="48"/>
  </r>
  <r>
    <s v="KHK-13105-388"/>
    <x v="177"/>
    <s v="46242-54946-ZW"/>
    <s v="A-M-1"/>
    <n v="6"/>
    <s v="Charin Maplethorp"/>
    <n v="0"/>
    <x v="0"/>
    <s v="Wilmington"/>
    <x v="4"/>
    <x v="3"/>
    <x v="4"/>
    <x v="40"/>
    <x v="45"/>
    <x v="48"/>
  </r>
  <r>
    <s v="NJR-03699-189"/>
    <x v="22"/>
    <s v="95152-82155-VQ"/>
    <s v="E-D-2.5"/>
    <n v="1"/>
    <s v="Goldie Wynes"/>
    <s v="gwynespn@dagondesign.com"/>
    <x v="0"/>
    <s v="Austin"/>
    <x v="4"/>
    <x v="3"/>
    <x v="4"/>
    <x v="40"/>
    <x v="45"/>
    <x v="48"/>
  </r>
  <r>
    <s v="PJV-20427-019"/>
    <x v="508"/>
    <s v="13404-39127-WQ"/>
    <s v="A-L-2.5"/>
    <n v="3"/>
    <s v="Celie MacCourt"/>
    <s v="cmaccourtpo@amazon.com"/>
    <x v="0"/>
    <s v="Orlando"/>
    <x v="4"/>
    <x v="3"/>
    <x v="4"/>
    <x v="40"/>
    <x v="45"/>
    <x v="48"/>
  </r>
  <r>
    <s v="UGK-07613-982"/>
    <x v="654"/>
    <s v="57808-90533-UE"/>
    <s v="A-M-0.5"/>
    <n v="3"/>
    <s v="Rori Ollin"/>
    <n v="0"/>
    <x v="0"/>
    <s v="Pasadena"/>
    <x v="4"/>
    <x v="3"/>
    <x v="4"/>
    <x v="40"/>
    <x v="45"/>
    <x v="48"/>
  </r>
  <r>
    <s v="OLA-68289-577"/>
    <x v="524"/>
    <s v="40226-52317-IO"/>
    <s v="A-M-0.5"/>
    <n v="5"/>
    <s v="Evy Wilsone"/>
    <s v="ewilsonepq@eepurl.com"/>
    <x v="0"/>
    <s v="Washington"/>
    <x v="4"/>
    <x v="3"/>
    <x v="4"/>
    <x v="40"/>
    <x v="45"/>
    <x v="48"/>
  </r>
  <r>
    <s v="TNR-84447-052"/>
    <x v="655"/>
    <s v="34419-18068-AG"/>
    <s v="E-D-2.5"/>
    <n v="4"/>
    <s v="Dolores Duffie"/>
    <s v="dduffiepr@time.com"/>
    <x v="0"/>
    <s v="Portland"/>
    <x v="4"/>
    <x v="3"/>
    <x v="4"/>
    <x v="40"/>
    <x v="45"/>
    <x v="48"/>
  </r>
  <r>
    <s v="FBZ-64200-586"/>
    <x v="523"/>
    <s v="51738-61457-RS"/>
    <s v="E-M-2.5"/>
    <n v="2"/>
    <s v="Mathilda Matiasek"/>
    <s v="mmatiasekps@ucoz.ru"/>
    <x v="0"/>
    <s v="New York City"/>
    <x v="4"/>
    <x v="3"/>
    <x v="4"/>
    <x v="40"/>
    <x v="45"/>
    <x v="48"/>
  </r>
  <r>
    <s v="OBN-66334-505"/>
    <x v="656"/>
    <s v="86757-52367-ON"/>
    <s v="E-L-0.2"/>
    <n v="2"/>
    <s v="Jarred Camillo"/>
    <s v="jcamillopt@shinystat.com"/>
    <x v="0"/>
    <s v="Washington"/>
    <x v="4"/>
    <x v="3"/>
    <x v="4"/>
    <x v="40"/>
    <x v="45"/>
    <x v="48"/>
  </r>
  <r>
    <s v="NXM-89323-646"/>
    <x v="657"/>
    <s v="28158-93383-CK"/>
    <s v="E-D-1"/>
    <n v="1"/>
    <s v="Kameko Philbrick"/>
    <s v="kphilbrickpu@cdc.gov"/>
    <x v="0"/>
    <s v="Washington"/>
    <x v="4"/>
    <x v="3"/>
    <x v="4"/>
    <x v="40"/>
    <x v="45"/>
    <x v="48"/>
  </r>
  <r>
    <s v="NHI-23264-055"/>
    <x v="658"/>
    <s v="44799-09711-XW"/>
    <s v="A-D-0.5"/>
    <n v="4"/>
    <s v="Mallory Shrimpling"/>
    <n v="0"/>
    <x v="0"/>
    <s v="Allentown"/>
    <x v="4"/>
    <x v="3"/>
    <x v="4"/>
    <x v="40"/>
    <x v="45"/>
    <x v="48"/>
  </r>
  <r>
    <s v="EQH-53569-934"/>
    <x v="659"/>
    <s v="53667-91553-LT"/>
    <s v="E-M-1"/>
    <n v="4"/>
    <s v="Barnett Sillis"/>
    <s v="bsillispw@istockphoto.com"/>
    <x v="0"/>
    <s v="Miami"/>
    <x v="4"/>
    <x v="3"/>
    <x v="4"/>
    <x v="40"/>
    <x v="45"/>
    <x v="48"/>
  </r>
  <r>
    <s v="XKK-06692-189"/>
    <x v="558"/>
    <s v="86579-92122-OC"/>
    <s v="R-D-1"/>
    <n v="3"/>
    <s v="Brenn Dundredge"/>
    <n v="0"/>
    <x v="0"/>
    <s v="Oklahoma City"/>
    <x v="4"/>
    <x v="3"/>
    <x v="4"/>
    <x v="40"/>
    <x v="45"/>
    <x v="48"/>
  </r>
  <r>
    <s v="BYP-16005-016"/>
    <x v="660"/>
    <s v="01474-63436-TP"/>
    <s v="R-M-2.5"/>
    <n v="5"/>
    <s v="Read Cutts"/>
    <s v="rcuttspy@techcrunch.com"/>
    <x v="0"/>
    <s v="Rockford"/>
    <x v="4"/>
    <x v="3"/>
    <x v="4"/>
    <x v="40"/>
    <x v="45"/>
    <x v="48"/>
  </r>
  <r>
    <s v="LWS-13938-905"/>
    <x v="661"/>
    <s v="90533-82440-EE"/>
    <s v="A-M-2.5"/>
    <n v="6"/>
    <s v="Michale Delves"/>
    <s v="mdelvespz@nature.com"/>
    <x v="0"/>
    <s v="Montgomery"/>
    <x v="4"/>
    <x v="3"/>
    <x v="4"/>
    <x v="40"/>
    <x v="45"/>
    <x v="48"/>
  </r>
  <r>
    <s v="OLH-95722-362"/>
    <x v="662"/>
    <s v="48553-69225-VX"/>
    <s v="L-D-0.5"/>
    <n v="3"/>
    <s v="Devland Gritton"/>
    <s v="dgrittonq0@nydailynews.com"/>
    <x v="0"/>
    <s v="Pasadena"/>
    <x v="4"/>
    <x v="3"/>
    <x v="4"/>
    <x v="40"/>
    <x v="45"/>
    <x v="48"/>
  </r>
  <r>
    <s v="OLH-95722-362"/>
    <x v="662"/>
    <s v="48553-69225-VX"/>
    <s v="R-M-2.5"/>
    <n v="4"/>
    <s v="Caitlin Cattermull"/>
    <s v="ccattermullq1@columbia.edu"/>
    <x v="0"/>
    <s v="Chicago"/>
    <x v="4"/>
    <x v="3"/>
    <x v="4"/>
    <x v="40"/>
    <x v="45"/>
    <x v="48"/>
  </r>
  <r>
    <s v="KCW-50949-318"/>
    <x v="184"/>
    <s v="52374-27313-IV"/>
    <s v="E-L-1"/>
    <n v="5"/>
    <s v="Dell Gut"/>
    <s v="dgutq2@umich.edu"/>
    <x v="0"/>
    <s v="Houston"/>
    <x v="4"/>
    <x v="3"/>
    <x v="4"/>
    <x v="40"/>
    <x v="45"/>
    <x v="48"/>
  </r>
  <r>
    <s v="JGZ-16947-591"/>
    <x v="663"/>
    <s v="14264-41252-SL"/>
    <s v="L-L-0.2"/>
    <n v="6"/>
    <s v="Willy Pummery"/>
    <s v="wpummeryq3@topsy.com"/>
    <x v="0"/>
    <s v="Muskegon"/>
    <x v="4"/>
    <x v="3"/>
    <x v="4"/>
    <x v="40"/>
    <x v="45"/>
    <x v="48"/>
  </r>
  <r>
    <s v="LXS-63326-144"/>
    <x v="334"/>
    <s v="35367-50483-AR"/>
    <s v="R-L-0.5"/>
    <n v="2"/>
    <s v="Geoffrey Siuda"/>
    <s v="gsiudaq4@nytimes.com"/>
    <x v="0"/>
    <s v="Washington"/>
    <x v="4"/>
    <x v="3"/>
    <x v="4"/>
    <x v="40"/>
    <x v="45"/>
    <x v="48"/>
  </r>
  <r>
    <s v="CZG-86544-655"/>
    <x v="664"/>
    <s v="69443-77665-QW"/>
    <s v="A-L-0.5"/>
    <n v="2"/>
    <s v="Henderson Crowne"/>
    <s v="hcrowneq5@wufoo.com"/>
    <x v="1"/>
    <s v="Sallins"/>
    <x v="4"/>
    <x v="3"/>
    <x v="4"/>
    <x v="40"/>
    <x v="45"/>
    <x v="48"/>
  </r>
  <r>
    <s v="WFV-88138-247"/>
    <x v="24"/>
    <s v="63411-51758-QC"/>
    <s v="R-L-1"/>
    <n v="3"/>
    <s v="Vernor Pawsey"/>
    <s v="vpawseyq6@tiny.cc"/>
    <x v="0"/>
    <s v="Macon"/>
    <x v="4"/>
    <x v="3"/>
    <x v="4"/>
    <x v="40"/>
    <x v="45"/>
    <x v="48"/>
  </r>
  <r>
    <s v="RFG-28227-288"/>
    <x v="12"/>
    <s v="68605-21835-UF"/>
    <s v="A-L-0.5"/>
    <n v="6"/>
    <s v="Augustin Waterhouse"/>
    <s v="awaterhouseq7@istockphoto.com"/>
    <x v="0"/>
    <s v="Shreveport"/>
    <x v="4"/>
    <x v="3"/>
    <x v="4"/>
    <x v="40"/>
    <x v="45"/>
    <x v="48"/>
  </r>
  <r>
    <s v="QAK-77286-758"/>
    <x v="105"/>
    <s v="34786-30419-XY"/>
    <s v="R-L-0.5"/>
    <n v="5"/>
    <s v="Fanchon Haughian"/>
    <s v="fhaughianq8@1688.com"/>
    <x v="0"/>
    <s v="Tacoma"/>
    <x v="4"/>
    <x v="3"/>
    <x v="4"/>
    <x v="40"/>
    <x v="45"/>
    <x v="48"/>
  </r>
  <r>
    <s v="CZD-56716-840"/>
    <x v="665"/>
    <s v="15456-29250-RU"/>
    <s v="L-D-2.5"/>
    <n v="4"/>
    <s v="Jaimie Hatz"/>
    <n v="0"/>
    <x v="0"/>
    <s v="El Paso"/>
    <x v="4"/>
    <x v="3"/>
    <x v="4"/>
    <x v="40"/>
    <x v="45"/>
    <x v="48"/>
  </r>
  <r>
    <s v="UBI-59229-277"/>
    <x v="44"/>
    <s v="00886-35803-FG"/>
    <s v="L-D-0.5"/>
    <n v="3"/>
    <s v="Edeline Edney"/>
    <n v="0"/>
    <x v="0"/>
    <s v="Birmingham"/>
    <x v="4"/>
    <x v="3"/>
    <x v="4"/>
    <x v="40"/>
    <x v="45"/>
    <x v="48"/>
  </r>
  <r>
    <s v="WJJ-37489-898"/>
    <x v="171"/>
    <s v="31599-82152-AD"/>
    <s v="A-M-1"/>
    <n v="1"/>
    <s v="Rickie Faltin"/>
    <s v="rfaltinqb@topsy.com"/>
    <x v="1"/>
    <s v="Portumna"/>
    <x v="4"/>
    <x v="3"/>
    <x v="4"/>
    <x v="40"/>
    <x v="45"/>
    <x v="48"/>
  </r>
  <r>
    <s v="ORX-57454-917"/>
    <x v="328"/>
    <s v="76209-39601-ZR"/>
    <s v="E-D-2.5"/>
    <n v="3"/>
    <s v="Gnni Cheeke"/>
    <s v="gcheekeqc@sitemeter.com"/>
    <x v="2"/>
    <s v="London"/>
    <x v="4"/>
    <x v="3"/>
    <x v="4"/>
    <x v="40"/>
    <x v="45"/>
    <x v="48"/>
  </r>
  <r>
    <s v="GRB-68838-629"/>
    <x v="648"/>
    <s v="15064-65241-HB"/>
    <s v="R-L-2.5"/>
    <n v="4"/>
    <s v="Gwenni Ratt"/>
    <s v="grattqd@phpbb.com"/>
    <x v="1"/>
    <s v="Castlemartyr"/>
    <x v="4"/>
    <x v="3"/>
    <x v="4"/>
    <x v="40"/>
    <x v="45"/>
    <x v="48"/>
  </r>
  <r>
    <s v="SHT-04865-419"/>
    <x v="666"/>
    <s v="69215-90789-DL"/>
    <s v="R-L-0.2"/>
    <n v="4"/>
    <s v="Johnath Fairebrother"/>
    <n v="0"/>
    <x v="0"/>
    <s v="Wilmington"/>
    <x v="4"/>
    <x v="3"/>
    <x v="4"/>
    <x v="40"/>
    <x v="45"/>
    <x v="48"/>
  </r>
  <r>
    <s v="UQI-28177-865"/>
    <x v="577"/>
    <s v="04317-46176-TB"/>
    <s v="R-L-0.2"/>
    <n v="6"/>
    <s v="Ingamar Eberlein"/>
    <s v="ieberleinqf@hc360.com"/>
    <x v="0"/>
    <s v="Harrisburg"/>
    <x v="4"/>
    <x v="3"/>
    <x v="4"/>
    <x v="40"/>
    <x v="45"/>
    <x v="48"/>
  </r>
  <r>
    <s v="OIB-13664-879"/>
    <x v="114"/>
    <s v="04713-57765-KR"/>
    <s v="A-M-1"/>
    <n v="2"/>
    <s v="Jilly Dreng"/>
    <s v="jdrengqg@uiuc.edu"/>
    <x v="1"/>
    <s v="Sallins"/>
    <x v="4"/>
    <x v="3"/>
    <x v="4"/>
    <x v="40"/>
    <x v="45"/>
    <x v="48"/>
  </r>
  <r>
    <s v="PJS-30996-485"/>
    <x v="4"/>
    <s v="86579-92122-OC"/>
    <s v="A-L-0.2"/>
    <n v="1"/>
    <s v="Jillane Jedrzej"/>
    <s v="jjedrzejqh@dailymail.co.uk"/>
    <x v="0"/>
    <s v="El Paso"/>
    <x v="4"/>
    <x v="3"/>
    <x v="4"/>
    <x v="40"/>
    <x v="45"/>
    <x v="48"/>
  </r>
  <r>
    <s v="HEL-86709-449"/>
    <x v="667"/>
    <s v="86579-92122-OC"/>
    <s v="E-D-2.5"/>
    <n v="1"/>
    <s v="Correy Lampel"/>
    <s v="clampelqi@jimdo.com"/>
    <x v="0"/>
    <s v="Saint Louis"/>
    <x v="4"/>
    <x v="3"/>
    <x v="4"/>
    <x v="40"/>
    <x v="45"/>
    <x v="48"/>
  </r>
  <r>
    <s v="NCH-55389-562"/>
    <x v="110"/>
    <s v="86579-92122-OC"/>
    <s v="E-L-2.5"/>
    <n v="5"/>
    <s v="Dulcie Mapowder"/>
    <s v="dmapowderqj@free.fr"/>
    <x v="0"/>
    <s v="Fort Smith"/>
    <x v="4"/>
    <x v="3"/>
    <x v="4"/>
    <x v="40"/>
    <x v="45"/>
    <x v="48"/>
  </r>
  <r>
    <s v="NCH-55389-562"/>
    <x v="110"/>
    <s v="86579-92122-OC"/>
    <s v="R-L-2.5"/>
    <n v="2"/>
    <s v="Eward Dearman"/>
    <s v="edearmanqk@redcross.org"/>
    <x v="0"/>
    <s v="Nashville"/>
    <x v="4"/>
    <x v="3"/>
    <x v="4"/>
    <x v="40"/>
    <x v="45"/>
    <x v="48"/>
  </r>
  <r>
    <s v="NCH-55389-562"/>
    <x v="110"/>
    <s v="86579-92122-OC"/>
    <s v="E-L-1"/>
    <n v="1"/>
    <s v="Dominique Lenard"/>
    <s v="dlenardql@bizjournals.com"/>
    <x v="0"/>
    <s v="Washington"/>
    <x v="4"/>
    <x v="3"/>
    <x v="4"/>
    <x v="40"/>
    <x v="45"/>
    <x v="48"/>
  </r>
  <r>
    <s v="NCH-55389-562"/>
    <x v="110"/>
    <s v="86579-92122-OC"/>
    <s v="A-L-0.2"/>
    <n v="2"/>
    <s v="Lloyd Toffano"/>
    <s v="ltoffanoqm@tripadvisor.com"/>
    <x v="0"/>
    <s v="Inglewood"/>
    <x v="4"/>
    <x v="3"/>
    <x v="4"/>
    <x v="40"/>
    <x v="45"/>
    <x v="48"/>
  </r>
  <r>
    <s v="GUG-45603-775"/>
    <x v="668"/>
    <s v="40959-32642-DN"/>
    <s v="L-L-0.2"/>
    <n v="5"/>
    <s v="Rhodie Strathern"/>
    <s v="rstrathernqn@devhub.com"/>
    <x v="0"/>
    <s v="Little Rock"/>
    <x v="4"/>
    <x v="3"/>
    <x v="4"/>
    <x v="40"/>
    <x v="45"/>
    <x v="48"/>
  </r>
  <r>
    <s v="KJB-98240-098"/>
    <x v="422"/>
    <s v="77746-08153-PM"/>
    <s v="L-L-1"/>
    <n v="5"/>
    <s v="Chad Miguel"/>
    <s v="cmiguelqo@exblog.jp"/>
    <x v="0"/>
    <s v="Hagerstown"/>
    <x v="4"/>
    <x v="3"/>
    <x v="4"/>
    <x v="40"/>
    <x v="45"/>
    <x v="48"/>
  </r>
  <r>
    <s v="JMS-48374-462"/>
    <x v="669"/>
    <s v="49667-96708-JL"/>
    <s v="A-D-2.5"/>
    <n v="2"/>
    <s v="Florinda Matusovsky"/>
    <n v="0"/>
    <x v="0"/>
    <s v="Albany"/>
    <x v="4"/>
    <x v="3"/>
    <x v="4"/>
    <x v="40"/>
    <x v="45"/>
    <x v="48"/>
  </r>
  <r>
    <s v="YIT-15877-117"/>
    <x v="670"/>
    <s v="24155-79322-EQ"/>
    <s v="R-D-1"/>
    <n v="1"/>
    <s v="Morly Rocks"/>
    <s v="mrocksqq@exblog.jp"/>
    <x v="1"/>
    <s v="Crossmolina"/>
    <x v="4"/>
    <x v="3"/>
    <x v="4"/>
    <x v="40"/>
    <x v="45"/>
    <x v="48"/>
  </r>
  <r>
    <s v="YVK-82679-655"/>
    <x v="341"/>
    <s v="95342-88311-SF"/>
    <s v="R-M-0.5"/>
    <n v="4"/>
    <s v="Yuri Burrells"/>
    <s v="yburrellsqr@vinaora.com"/>
    <x v="0"/>
    <s v="Lexington"/>
    <x v="4"/>
    <x v="3"/>
    <x v="4"/>
    <x v="40"/>
    <x v="45"/>
    <x v="48"/>
  </r>
  <r>
    <s v="TYH-81940-054"/>
    <x v="671"/>
    <s v="69374-08133-RI"/>
    <s v="E-L-0.2"/>
    <n v="5"/>
    <s v="Cleopatra Goodrum"/>
    <s v="cgoodrumqs@goodreads.com"/>
    <x v="0"/>
    <s v="San Diego"/>
    <x v="4"/>
    <x v="3"/>
    <x v="4"/>
    <x v="40"/>
    <x v="45"/>
    <x v="48"/>
  </r>
  <r>
    <s v="HTY-30660-254"/>
    <x v="672"/>
    <s v="83844-95908-RX"/>
    <s v="R-M-1"/>
    <n v="3"/>
    <s v="Joey Jefferys"/>
    <s v="jjefferysqt@blog.com"/>
    <x v="0"/>
    <s v="Los Angeles"/>
    <x v="4"/>
    <x v="3"/>
    <x v="4"/>
    <x v="40"/>
    <x v="45"/>
    <x v="48"/>
  </r>
  <r>
    <s v="GPW-43956-761"/>
    <x v="673"/>
    <s v="09667-09231-YM"/>
    <s v="E-L-0.5"/>
    <n v="6"/>
    <s v="Bearnard Wardell"/>
    <s v="bwardellqu@adobe.com"/>
    <x v="0"/>
    <s v="Brooklyn"/>
    <x v="4"/>
    <x v="3"/>
    <x v="4"/>
    <x v="40"/>
    <x v="45"/>
    <x v="48"/>
  </r>
  <r>
    <s v="DWY-56352-412"/>
    <x v="674"/>
    <s v="55427-08059-DF"/>
    <s v="R-D-0.2"/>
    <n v="1"/>
    <s v="Zeke Walisiak"/>
    <s v="zwalisiakqv@ucsd.edu"/>
    <x v="1"/>
    <s v="Booterstown"/>
    <x v="4"/>
    <x v="3"/>
    <x v="4"/>
    <x v="40"/>
    <x v="45"/>
    <x v="48"/>
  </r>
  <r>
    <s v="PUH-55647-976"/>
    <x v="675"/>
    <s v="06624-54037-BQ"/>
    <s v="R-M-0.2"/>
    <n v="2"/>
    <s v="Wiley Leopold"/>
    <s v="wleopoldqw@blogspot.com"/>
    <x v="0"/>
    <s v="Gainesville"/>
    <x v="4"/>
    <x v="3"/>
    <x v="4"/>
    <x v="40"/>
    <x v="45"/>
    <x v="48"/>
  </r>
  <r>
    <s v="DTB-71371-705"/>
    <x v="539"/>
    <s v="48544-90737-AZ"/>
    <s v="L-D-1"/>
    <n v="1"/>
    <s v="Chiarra Shalders"/>
    <s v="cshaldersqx@cisco.com"/>
    <x v="0"/>
    <s v="Clearwater"/>
    <x v="4"/>
    <x v="3"/>
    <x v="4"/>
    <x v="40"/>
    <x v="45"/>
    <x v="48"/>
  </r>
  <r>
    <s v="ZDC-64769-740"/>
    <x v="676"/>
    <s v="79463-01597-FQ"/>
    <s v="E-M-0.5"/>
    <n v="1"/>
    <s v="Sharl Southerill"/>
    <n v="0"/>
    <x v="0"/>
    <s v="Amarillo"/>
    <x v="4"/>
    <x v="3"/>
    <x v="4"/>
    <x v="40"/>
    <x v="45"/>
    <x v="48"/>
  </r>
  <r>
    <s v="TED-81959-419"/>
    <x v="677"/>
    <s v="27702-50024-XC"/>
    <s v="A-L-2.5"/>
    <n v="5"/>
    <s v="Noni Furber"/>
    <s v="nfurberqz@jugem.jp"/>
    <x v="0"/>
    <s v="Fort Worth"/>
    <x v="4"/>
    <x v="3"/>
    <x v="4"/>
    <x v="40"/>
    <x v="45"/>
    <x v="48"/>
  </r>
  <r>
    <s v="FDO-25756-141"/>
    <x v="629"/>
    <s v="57360-46846-NS"/>
    <s v="A-L-2.5"/>
    <n v="3"/>
    <s v="Dinah Crutcher"/>
    <n v="0"/>
    <x v="1"/>
    <s v="Lusk"/>
    <x v="4"/>
    <x v="3"/>
    <x v="4"/>
    <x v="40"/>
    <x v="45"/>
    <x v="48"/>
  </r>
  <r>
    <s v="HKN-31467-517"/>
    <x v="662"/>
    <s v="84045-66771-SL"/>
    <s v="L-M-1"/>
    <n v="6"/>
    <s v="Charlean Keave"/>
    <s v="ckeaver1@ucoz.com"/>
    <x v="0"/>
    <s v="Pensacola"/>
    <x v="4"/>
    <x v="3"/>
    <x v="4"/>
    <x v="40"/>
    <x v="45"/>
    <x v="48"/>
  </r>
  <r>
    <s v="POF-29666-012"/>
    <x v="102"/>
    <s v="46885-00260-TL"/>
    <s v="R-D-0.5"/>
    <n v="1"/>
    <s v="Sada Roseborough"/>
    <s v="sroseboroughr2@virginia.edu"/>
    <x v="0"/>
    <s v="Tacoma"/>
    <x v="4"/>
    <x v="3"/>
    <x v="4"/>
    <x v="40"/>
    <x v="45"/>
    <x v="48"/>
  </r>
  <r>
    <s v="IRX-59256-644"/>
    <x v="678"/>
    <s v="96446-62142-EN"/>
    <s v="A-D-0.2"/>
    <n v="3"/>
    <s v="Clayton Kingwell"/>
    <s v="ckingwellr3@squarespace.com"/>
    <x v="1"/>
    <s v="Rathnew"/>
    <x v="4"/>
    <x v="3"/>
    <x v="4"/>
    <x v="40"/>
    <x v="45"/>
    <x v="48"/>
  </r>
  <r>
    <s v="LTN-89139-350"/>
    <x v="679"/>
    <s v="07756-71018-GU"/>
    <s v="R-L-2.5"/>
    <n v="5"/>
    <s v="Kacy Canto"/>
    <s v="kcantor4@gmpg.org"/>
    <x v="0"/>
    <s v="Fort Wayne"/>
    <x v="4"/>
    <x v="3"/>
    <x v="4"/>
    <x v="40"/>
    <x v="45"/>
    <x v="48"/>
  </r>
  <r>
    <s v="TXF-79780-017"/>
    <x v="112"/>
    <s v="92048-47813-QB"/>
    <s v="R-L-1"/>
    <n v="5"/>
    <s v="Mab Blakemore"/>
    <s v="mblakemorer5@nsw.gov.au"/>
    <x v="0"/>
    <s v="Amarillo"/>
    <x v="4"/>
    <x v="3"/>
    <x v="4"/>
    <x v="40"/>
    <x v="45"/>
    <x v="48"/>
  </r>
  <r>
    <s v="ALM-80762-974"/>
    <x v="55"/>
    <s v="84045-66771-SL"/>
    <s v="A-L-0.5"/>
    <n v="3"/>
    <s v="Dedie Gooderridge"/>
    <s v="dgooderridger6@lycos.com"/>
    <x v="0"/>
    <s v="Washington"/>
    <x v="4"/>
    <x v="3"/>
    <x v="4"/>
    <x v="40"/>
    <x v="45"/>
    <x v="48"/>
  </r>
  <r>
    <s v="NXF-15738-707"/>
    <x v="680"/>
    <s v="28699-16256-XV"/>
    <s v="R-D-0.5"/>
    <n v="2"/>
    <s v="Javier Causnett"/>
    <n v="0"/>
    <x v="0"/>
    <s v="Silver Spring"/>
    <x v="4"/>
    <x v="3"/>
    <x v="4"/>
    <x v="40"/>
    <x v="45"/>
    <x v="48"/>
  </r>
  <r>
    <s v="MVV-19034-198"/>
    <x v="94"/>
    <s v="98476-63654-CG"/>
    <s v="E-D-2.5"/>
    <n v="6"/>
    <s v="Demetris Micheli"/>
    <n v="0"/>
    <x v="0"/>
    <s v="Madison"/>
    <x v="4"/>
    <x v="3"/>
    <x v="4"/>
    <x v="40"/>
    <x v="45"/>
    <x v="48"/>
  </r>
  <r>
    <s v="KUX-19632-830"/>
    <x v="160"/>
    <s v="55409-07759-YG"/>
    <s v="E-D-0.2"/>
    <n v="6"/>
    <s v="Chloette Bernardot"/>
    <s v="cbernardotr9@wix.com"/>
    <x v="0"/>
    <s v="Conroe"/>
    <x v="4"/>
    <x v="3"/>
    <x v="4"/>
    <x v="40"/>
    <x v="45"/>
    <x v="48"/>
  </r>
  <r>
    <s v="SNZ-44595-152"/>
    <x v="681"/>
    <s v="06136-65250-PG"/>
    <s v="R-L-1"/>
    <n v="2"/>
    <s v="Kim Kemery"/>
    <s v="kkemeryra@t.co"/>
    <x v="0"/>
    <s v="Denton"/>
    <x v="4"/>
    <x v="3"/>
    <x v="4"/>
    <x v="40"/>
    <x v="45"/>
    <x v="48"/>
  </r>
  <r>
    <s v="GQA-37241-629"/>
    <x v="502"/>
    <s v="08405-33165-BS"/>
    <s v="A-M-0.2"/>
    <n v="2"/>
    <s v="Fanchette Parlot"/>
    <s v="fparlotrb@forbes.com"/>
    <x v="0"/>
    <s v="Columbus"/>
    <x v="4"/>
    <x v="3"/>
    <x v="4"/>
    <x v="40"/>
    <x v="45"/>
    <x v="48"/>
  </r>
  <r>
    <s v="WVV-79948-067"/>
    <x v="682"/>
    <s v="66070-30559-WI"/>
    <s v="E-M-2.5"/>
    <n v="1"/>
    <s v="Ramon Cheak"/>
    <s v="rcheakrc@tripadvisor.com"/>
    <x v="1"/>
    <s v="Bundoran"/>
    <x v="4"/>
    <x v="3"/>
    <x v="4"/>
    <x v="40"/>
    <x v="45"/>
    <x v="48"/>
  </r>
  <r>
    <s v="LHX-81117-166"/>
    <x v="683"/>
    <s v="01282-28364-RZ"/>
    <s v="R-L-1"/>
    <n v="4"/>
    <s v="Koressa O'Geneay"/>
    <s v="kogeneayrd@utexas.edu"/>
    <x v="0"/>
    <s v="Aurora"/>
    <x v="4"/>
    <x v="3"/>
    <x v="4"/>
    <x v="40"/>
    <x v="45"/>
    <x v="48"/>
  </r>
  <r>
    <s v="GCD-75444-320"/>
    <x v="594"/>
    <s v="51277-93873-RP"/>
    <s v="L-M-2.5"/>
    <n v="1"/>
    <s v="Claudell Ayre"/>
    <s v="cayrere@symantec.com"/>
    <x v="0"/>
    <s v="Daytona Beach"/>
    <x v="4"/>
    <x v="3"/>
    <x v="4"/>
    <x v="40"/>
    <x v="45"/>
    <x v="48"/>
  </r>
  <r>
    <s v="SGA-30059-217"/>
    <x v="389"/>
    <s v="84405-83364-DG"/>
    <s v="A-D-0.5"/>
    <n v="5"/>
    <s v="Lorianne Kyneton"/>
    <s v="lkynetonrf@macromedia.com"/>
    <x v="2"/>
    <s v="Seaton"/>
    <x v="4"/>
    <x v="3"/>
    <x v="4"/>
    <x v="40"/>
    <x v="45"/>
    <x v="48"/>
  </r>
  <r>
    <s v="GNL-98714-885"/>
    <x v="583"/>
    <s v="83731-53280-YC"/>
    <s v="R-M-1"/>
    <n v="3"/>
    <s v="Adele McFayden"/>
    <n v="0"/>
    <x v="2"/>
    <s v="Wirral"/>
    <x v="4"/>
    <x v="3"/>
    <x v="4"/>
    <x v="40"/>
    <x v="45"/>
    <x v="48"/>
  </r>
  <r>
    <s v="OQA-93249-841"/>
    <x v="647"/>
    <s v="03917-13632-KC"/>
    <s v="A-M-2.5"/>
    <n v="6"/>
    <s v="Herta Layne"/>
    <n v="0"/>
    <x v="0"/>
    <s v="Saint Louis"/>
    <x v="4"/>
    <x v="3"/>
    <x v="4"/>
    <x v="40"/>
    <x v="45"/>
    <x v="48"/>
  </r>
  <r>
    <s v="DUV-12075-132"/>
    <x v="366"/>
    <s v="62494-09113-RP"/>
    <s v="E-D-0.2"/>
    <n v="5"/>
    <s v="Dierdre Scrigmour"/>
    <s v="dscrigmourri@cnbc.com"/>
    <x v="0"/>
    <s v="Oceanside"/>
    <x v="4"/>
    <x v="3"/>
    <x v="4"/>
    <x v="40"/>
    <x v="45"/>
    <x v="48"/>
  </r>
  <r>
    <s v="DUV-12075-132"/>
    <x v="366"/>
    <s v="62494-09113-RP"/>
    <s v="L-D-0.5"/>
    <n v="2"/>
    <s v="Romy Whittlesea"/>
    <n v="0"/>
    <x v="0"/>
    <s v="Chattanooga"/>
    <x v="4"/>
    <x v="3"/>
    <x v="4"/>
    <x v="40"/>
    <x v="45"/>
    <x v="48"/>
  </r>
  <r>
    <s v="KPO-24942-184"/>
    <x v="684"/>
    <s v="70567-65133-CN"/>
    <s v="L-L-2.5"/>
    <n v="3"/>
    <s v="Desdemona Eye"/>
    <n v="0"/>
    <x v="1"/>
    <s v="Bagenalstown"/>
    <x v="4"/>
    <x v="3"/>
    <x v="4"/>
    <x v="40"/>
    <x v="45"/>
    <x v="48"/>
  </r>
  <r>
    <s v="SRJ-79353-838"/>
    <x v="506"/>
    <s v="77869-81373-AY"/>
    <s v="A-L-1"/>
    <n v="6"/>
    <s v="Margarette Sterland"/>
    <n v="0"/>
    <x v="0"/>
    <s v="Philadelphia"/>
    <x v="4"/>
    <x v="3"/>
    <x v="4"/>
    <x v="40"/>
    <x v="45"/>
    <x v="48"/>
  </r>
  <r>
    <s v="XBV-40336-071"/>
    <x v="685"/>
    <s v="38536-98293-JZ"/>
    <s v="A-D-0.2"/>
    <n v="3"/>
    <s v="Catharine Scoines"/>
    <n v="0"/>
    <x v="1"/>
    <s v="Watergrasshill"/>
    <x v="4"/>
    <x v="3"/>
    <x v="4"/>
    <x v="40"/>
    <x v="45"/>
    <x v="48"/>
  </r>
  <r>
    <s v="RLM-96511-467"/>
    <x v="191"/>
    <s v="43014-53743-XK"/>
    <s v="R-L-2.5"/>
    <n v="1"/>
    <s v="Jennica Tewelson"/>
    <s v="jtewelsonrn@samsung.com"/>
    <x v="0"/>
    <s v="Dallas"/>
    <x v="4"/>
    <x v="3"/>
    <x v="4"/>
    <x v="40"/>
    <x v="45"/>
    <x v="48"/>
  </r>
  <r>
    <s v="AEZ-13242-456"/>
    <x v="686"/>
    <s v="62494-09113-RP"/>
    <s v="R-M-0.5"/>
    <n v="5"/>
    <s v="Marguerite Graves"/>
    <n v="0"/>
    <x v="0"/>
    <s v="Fort Smith"/>
    <x v="4"/>
    <x v="3"/>
    <x v="4"/>
    <x v="40"/>
    <x v="45"/>
    <x v="48"/>
  </r>
  <r>
    <s v="UME-75640-698"/>
    <x v="687"/>
    <s v="62494-09113-RP"/>
    <s v="A-M-0.5"/>
    <n v="4"/>
    <s v="Etan Featenby"/>
    <n v="0"/>
    <x v="0"/>
    <s v="Colorado Springs"/>
    <x v="4"/>
    <x v="3"/>
    <x v="4"/>
    <x v="40"/>
    <x v="45"/>
    <x v="48"/>
  </r>
  <r>
    <s v="GJC-66474-557"/>
    <x v="629"/>
    <s v="64965-78386-MY"/>
    <s v="A-D-1"/>
    <n v="1"/>
    <s v="Nicolina Jenny"/>
    <s v="njennyrq@bigcartel.com"/>
    <x v="0"/>
    <s v="Whittier"/>
    <x v="4"/>
    <x v="3"/>
    <x v="4"/>
    <x v="40"/>
    <x v="45"/>
    <x v="48"/>
  </r>
  <r>
    <s v="IRV-20769-219"/>
    <x v="688"/>
    <s v="77131-58092-GE"/>
    <s v="E-M-0.2"/>
    <n v="3"/>
    <s v="Vidovic Antonelli"/>
    <n v="0"/>
    <x v="2"/>
    <s v="London"/>
    <x v="4"/>
    <x v="3"/>
    <x v="4"/>
    <x v="40"/>
    <x v="45"/>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7"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items count="6">
        <item h="1" x="4"/>
        <item x="0"/>
        <item x="3"/>
        <item x="2"/>
        <item x="1"/>
        <item t="default"/>
      </items>
    </pivotField>
    <pivotField axis="axisRow" showAll="0">
      <items count="5">
        <item h="1" x="3"/>
        <item x="2"/>
        <item x="0"/>
        <item x="1"/>
        <item t="default"/>
      </items>
    </pivotField>
    <pivotField showAll="0"/>
    <pivotField showAll="0"/>
    <pivotField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4">
    <i>
      <x v="1"/>
    </i>
    <i>
      <x v="2"/>
    </i>
    <i>
      <x v="3"/>
    </i>
    <i t="grand">
      <x/>
    </i>
  </rowItems>
  <colItems count="1">
    <i/>
  </colItems>
  <dataFields count="1">
    <dataField name="Count of Order ID FOR PROFIT" fld="0" subtotal="count" baseField="10" baseItem="1" numFmtId="167"/>
  </dataFields>
  <formats count="2">
    <format dxfId="2">
      <pivotArea grandRow="1" outline="0" collapsedLevelsAreSubtotals="1" fieldPosition="0"/>
    </format>
    <format dxfId="3">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E2"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CUSTOMERS FOR PROFIT" fld="2" subtotal="count" baseField="0" baseItem="0" numFmtId="16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numFmtId="44"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PROFIT FOR PROFIT" fld="14"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dataField="1"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SALES FOR PROFIT" fld="13" baseField="0" baseItem="0" numFmtId="17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J15:K20"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items count="6">
        <item h="1" x="4"/>
        <item x="0"/>
        <item x="3"/>
        <item x="2"/>
        <item x="1"/>
        <item t="default"/>
      </items>
    </pivotField>
    <pivotField showAll="0">
      <items count="5">
        <item h="1" x="3"/>
        <item x="2"/>
        <item x="0"/>
        <item x="1"/>
        <item t="default"/>
      </items>
    </pivotField>
    <pivotField axis="axisRow" numFmtId="168" showAll="0">
      <items count="6">
        <item h="1" x="4"/>
        <item x="0"/>
        <item x="1"/>
        <item x="2"/>
        <item x="3"/>
        <item t="default"/>
      </items>
    </pivotField>
    <pivotField showAll="0"/>
    <pivotField numFmtId="44" showAll="0"/>
    <pivotField dataField="1" showAll="0"/>
    <pivotField showAll="0" defaultSubtotal="0">
      <items count="6">
        <item x="0"/>
        <item x="1"/>
        <item x="2"/>
        <item x="3"/>
        <item x="4"/>
        <item x="5"/>
      </items>
    </pivotField>
    <pivotField showAll="0" sortType="ascending" defaultSubtotal="0">
      <items count="6">
        <item x="0"/>
        <item x="5"/>
        <item sd="0" x="1"/>
        <item sd="0" x="2"/>
        <item sd="0" x="3"/>
        <item sd="0" x="4"/>
      </items>
    </pivotField>
  </pivotFields>
  <rowFields count="1">
    <field x="11"/>
  </rowFields>
  <rowItems count="5">
    <i>
      <x v="1"/>
    </i>
    <i>
      <x v="2"/>
    </i>
    <i>
      <x v="3"/>
    </i>
    <i>
      <x v="4"/>
    </i>
    <i t="grand">
      <x/>
    </i>
  </rowItems>
  <colItems count="1">
    <i/>
  </colItems>
  <dataFields count="1">
    <dataField name="Sum of Profit BY SIZE" fld="14" baseField="11" baseItem="0" numFmtId="165"/>
  </dataFields>
  <chartFormats count="1">
    <chartFormat chart="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4:H18"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numFmtId="44"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Profit BY COUNTRY" fld="14" baseField="7" baseItem="0" numFmtId="165"/>
  </dataFields>
  <formats count="1">
    <format dxfId="15">
      <pivotArea dataOnly="0" fieldPosition="0">
        <references count="1">
          <reference field="7" count="0"/>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20:E25"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axis="axisRow" showAll="0" sortType="descending">
      <items count="6">
        <item h="1" x="4"/>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dataField="1" showAll="0"/>
    <pivotField showAll="0" defaultSubtotal="0">
      <items count="6">
        <item x="0"/>
        <item x="1"/>
        <item x="2"/>
        <item x="3"/>
        <item x="4"/>
        <item x="5"/>
      </items>
    </pivotField>
    <pivotField showAll="0" sortType="ascending" defaultSubtotal="0">
      <items count="6">
        <item x="0"/>
        <item x="5"/>
        <item sd="0" x="1"/>
        <item sd="0" x="2"/>
        <item sd="0" x="3"/>
        <item sd="0" x="4"/>
      </items>
    </pivotField>
  </pivotFields>
  <rowFields count="1">
    <field x="9"/>
  </rowFields>
  <rowItems count="5">
    <i>
      <x v="3"/>
    </i>
    <i>
      <x v="2"/>
    </i>
    <i>
      <x v="4"/>
    </i>
    <i>
      <x v="1"/>
    </i>
    <i t="grand">
      <x/>
    </i>
  </rowItems>
  <colItems count="1">
    <i/>
  </colItems>
  <dataFields count="1">
    <dataField name="Sum of Profit BY COFFEE TYPE" fld="14" baseField="9" baseItem="1" numFmtId="165"/>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3"/>
          </reference>
        </references>
      </pivotArea>
    </chartFormat>
    <chartFormat chart="4" format="2">
      <pivotArea type="data" outline="0" fieldPosition="0">
        <references count="2">
          <reference field="4294967294" count="1" selected="0">
            <x v="0"/>
          </reference>
          <reference field="9" count="1" selected="0">
            <x v="2"/>
          </reference>
        </references>
      </pivotArea>
    </chartFormat>
    <chartFormat chart="4" format="3">
      <pivotArea type="data" outline="0" fieldPosition="0">
        <references count="2">
          <reference field="4294967294" count="1" selected="0">
            <x v="0"/>
          </reference>
          <reference field="9" count="1" selected="0">
            <x v="4"/>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9" count="1" selected="0">
            <x v="3"/>
          </reference>
        </references>
      </pivotArea>
    </chartFormat>
    <chartFormat chart="6" format="17">
      <pivotArea type="data" outline="0" fieldPosition="0">
        <references count="2">
          <reference field="4294967294" count="1" selected="0">
            <x v="0"/>
          </reference>
          <reference field="9" count="1" selected="0">
            <x v="2"/>
          </reference>
        </references>
      </pivotArea>
    </chartFormat>
    <chartFormat chart="6" format="18">
      <pivotArea type="data" outline="0" fieldPosition="0">
        <references count="2">
          <reference field="4294967294" count="1" selected="0">
            <x v="0"/>
          </reference>
          <reference field="9" count="1" selected="0">
            <x v="4"/>
          </reference>
        </references>
      </pivotArea>
    </chartFormat>
    <chartFormat chart="6" format="19">
      <pivotArea type="data" outline="0" fieldPosition="0">
        <references count="2">
          <reference field="4294967294" count="1" selected="0">
            <x v="0"/>
          </reference>
          <reference field="9"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6:B11"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dataField="1" numFmtId="44" showAll="0"/>
    <pivotField showAll="0"/>
    <pivotField axis="axisRow" showAll="0" defaultSubtotal="0">
      <items count="6">
        <item x="0"/>
        <item x="1"/>
        <item x="2"/>
        <item x="3"/>
        <item x="4"/>
        <item x="5"/>
      </items>
    </pivotField>
    <pivotField axis="axisRow" showAll="0" sortType="ascending" defaultSubtotal="0">
      <items count="6">
        <item x="0"/>
        <item x="5"/>
        <item sd="0" x="1"/>
        <item sd="0" x="2"/>
        <item sd="0" x="3"/>
        <item sd="0" x="4"/>
      </items>
    </pivotField>
  </pivotFields>
  <rowFields count="3">
    <field x="16"/>
    <field x="15"/>
    <field x="1"/>
  </rowFields>
  <rowItems count="5">
    <i>
      <x v="2"/>
    </i>
    <i>
      <x v="3"/>
    </i>
    <i>
      <x v="4"/>
    </i>
    <i>
      <x v="5"/>
    </i>
    <i t="grand">
      <x/>
    </i>
  </rowItems>
  <colItems count="1">
    <i/>
  </colItems>
  <dataFields count="1">
    <dataField name="Sum of Sales" fld="13" baseField="16" baseItem="1" numFmtId="165"/>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2"/>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SALES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numFmtId="44"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PROFIT" fld="14" baseField="0" baseItem="1"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SALES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CUSTOMERS" fld="2" subtotal="count" baseField="0" baseItem="1" numFmtId="16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20:H24"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7"/>
  </rowFields>
  <rowItems count="4">
    <i>
      <x v="2"/>
    </i>
    <i>
      <x/>
    </i>
    <i>
      <x v="1"/>
    </i>
    <i t="grand">
      <x/>
    </i>
  </rowItems>
  <colItems count="1">
    <i/>
  </colItems>
  <dataFields count="1">
    <dataField name="Sum of Sales" fld="13" baseField="7" baseItem="0" numFmtId="165"/>
  </dataFields>
  <formats count="2">
    <format dxfId="17">
      <pivotArea dataOnly="0" fieldPosition="0">
        <references count="1">
          <reference field="7" count="0"/>
        </references>
      </pivotArea>
    </format>
    <format dxfId="16">
      <pivotArea outline="0" fieldPosition="0">
        <references count="1">
          <reference field="4294967294" count="1">
            <x v="0"/>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13:E17"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numFmtId="44" showAll="0"/>
    <pivotField dataField="1" showAll="0"/>
    <pivotField showAll="0" defaultSubtotal="0">
      <items count="6">
        <item x="0"/>
        <item x="1"/>
        <item x="2"/>
        <item x="3"/>
        <item x="4"/>
        <item x="5"/>
      </items>
    </pivotField>
    <pivotField showAll="0" sortType="ascending" defaultSubtotal="0">
      <items count="6">
        <item x="0"/>
        <item x="5"/>
        <item sd="0" x="1"/>
        <item sd="0" x="2"/>
        <item sd="0" x="3"/>
        <item sd="0" x="4"/>
      </items>
    </pivotField>
  </pivotFields>
  <rowFields count="1">
    <field x="7"/>
  </rowFields>
  <rowItems count="4">
    <i>
      <x/>
    </i>
    <i>
      <x v="1"/>
    </i>
    <i>
      <x v="2"/>
    </i>
    <i t="grand">
      <x/>
    </i>
  </rowItems>
  <colItems count="1">
    <i/>
  </colItems>
  <dataFields count="1">
    <dataField name="Sum of Profit BY COUNTRY" fld="14" baseField="7" baseItem="0" numFmtId="165"/>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SALES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dataField="1"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TOTAL SALES" fld="13" baseField="0" baseItem="0" numFmtId="17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SALES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7"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items count="6">
        <item h="1" x="4"/>
        <item x="0"/>
        <item x="3"/>
        <item x="2"/>
        <item x="1"/>
        <item t="default"/>
      </items>
    </pivotField>
    <pivotField axis="axisRow" showAll="0">
      <items count="5">
        <item h="1" x="3"/>
        <item x="2"/>
        <item x="0"/>
        <item x="1"/>
        <item t="default"/>
      </items>
    </pivotField>
    <pivotField showAll="0"/>
    <pivotField showAll="0"/>
    <pivotField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4">
    <i>
      <x v="1"/>
    </i>
    <i>
      <x v="2"/>
    </i>
    <i>
      <x v="3"/>
    </i>
    <i t="grand">
      <x/>
    </i>
  </rowItems>
  <colItems count="1">
    <i/>
  </colItems>
  <dataFields count="1">
    <dataField name="Count of Order ID" fld="0" subtotal="count" baseField="10" baseItem="0" numFmtId="167"/>
  </dataFields>
  <formats count="2">
    <format dxfId="0">
      <pivotArea grandRow="1" outline="0" collapsedLevelsAreSubtotals="1" fieldPosition="0"/>
    </format>
    <format dxfId="1">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6:E11"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numFmtId="44" showAll="0"/>
    <pivotField dataField="1" showAll="0"/>
    <pivotField showAll="0" defaultSubtotal="0">
      <items count="6">
        <item x="0"/>
        <item x="1"/>
        <item x="2"/>
        <item x="3"/>
        <item x="4"/>
        <item x="5"/>
      </items>
    </pivotField>
    <pivotField axis="axisRow" showAll="0" sortType="ascending" defaultSubtotal="0">
      <items count="6">
        <item x="0"/>
        <item x="5"/>
        <item sd="0" x="1"/>
        <item sd="0" x="2"/>
        <item sd="0" x="3"/>
        <item sd="0" x="4"/>
      </items>
    </pivotField>
  </pivotFields>
  <rowFields count="1">
    <field x="16"/>
  </rowFields>
  <rowItems count="5">
    <i>
      <x v="2"/>
    </i>
    <i>
      <x v="3"/>
    </i>
    <i>
      <x v="4"/>
    </i>
    <i>
      <x v="5"/>
    </i>
    <i t="grand">
      <x/>
    </i>
  </rowItems>
  <colItems count="1">
    <i/>
  </colItems>
  <dataFields count="1">
    <dataField name="Sum of Profit BY YEAR" fld="14" baseField="16" baseItem="2" numFmtId="165"/>
  </dataFields>
  <chartFormats count="1">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B18"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axis="axisRow" showAll="0" sortType="ascending">
      <items count="6">
        <item h="1" x="4"/>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9"/>
  </rowFields>
  <rowItems count="5">
    <i>
      <x v="1"/>
    </i>
    <i>
      <x v="4"/>
    </i>
    <i>
      <x v="2"/>
    </i>
    <i>
      <x v="3"/>
    </i>
    <i t="grand">
      <x/>
    </i>
  </rowItems>
  <colItems count="1">
    <i/>
  </colItems>
  <dataFields count="1">
    <dataField name="SALES GENERATED BY COFFEE TYPE" fld="13" baseField="9" baseItem="1" numFmtId="165"/>
  </dataFields>
  <formats count="5">
    <format dxfId="22">
      <pivotArea collapsedLevelsAreSubtotals="1" fieldPosition="0">
        <references count="1">
          <reference field="9" count="0"/>
        </references>
      </pivotArea>
    </format>
    <format dxfId="21">
      <pivotArea field="9" type="button" dataOnly="0" labelOnly="1" outline="0" axis="axisRow" fieldPosition="0"/>
    </format>
    <format dxfId="20">
      <pivotArea dataOnly="0" labelOnly="1" outline="0" axis="axisValues" fieldPosition="0"/>
    </format>
    <format dxfId="19">
      <pivotArea dataOnly="0" labelOnly="1" fieldPosition="0">
        <references count="1">
          <reference field="9" count="0"/>
        </references>
      </pivotArea>
    </format>
    <format dxfId="18">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4"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pivotField axis="axisRow" showAll="0">
      <items count="5">
        <item h="1" x="3"/>
        <item x="0"/>
        <item x="1"/>
        <item x="2"/>
        <item t="default"/>
      </items>
    </pivotField>
    <pivotField showAll="0"/>
    <pivotField showAll="0"/>
    <pivotField dataField="1" numFmtId="4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4">
    <i>
      <x v="1"/>
    </i>
    <i>
      <x v="2"/>
    </i>
    <i>
      <x v="3"/>
    </i>
    <i t="grand">
      <x/>
    </i>
  </rowItems>
  <colItems count="1">
    <i/>
  </colItems>
  <dataFields count="1">
    <dataField name="SALES GENERATED BY ROAST TYPE" fld="13" baseField="10" baseItem="1" numFmtId="165"/>
  </dataFields>
  <formats count="4">
    <format dxfId="26">
      <pivotArea field="10" type="button" dataOnly="0" labelOnly="1" outline="0" axis="axisRow" fieldPosition="0"/>
    </format>
    <format dxfId="25">
      <pivotArea dataOnly="0" labelOnly="1" outline="0" axis="axisValues" fieldPosition="0"/>
    </format>
    <format dxfId="24">
      <pivotArea dataOnly="0" labelOnly="1" outline="0" axis="axisValues" fieldPosition="0"/>
    </format>
    <format dxfId="23">
      <pivotArea dataOnly="0" fieldPosition="0">
        <references count="1">
          <reference field="10"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22:J23"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2"/>
        <item x="0"/>
        <item t="default"/>
      </items>
    </pivotField>
    <pivotField showAll="0"/>
    <pivotField showAll="0">
      <items count="6">
        <item h="1" x="4"/>
        <item x="0"/>
        <item x="3"/>
        <item x="2"/>
        <item x="1"/>
        <item t="default"/>
      </items>
    </pivotField>
    <pivotField showAll="0">
      <items count="5">
        <item h="1" x="3"/>
        <item x="2"/>
        <item x="0"/>
        <item x="1"/>
        <item t="default"/>
      </items>
    </pivotField>
    <pivotField numFmtId="168" showAll="0">
      <items count="6">
        <item h="1" x="4"/>
        <item x="0"/>
        <item x="1"/>
        <item x="2"/>
        <item x="3"/>
        <item t="default"/>
      </items>
    </pivotField>
    <pivotField showAll="0">
      <items count="42">
        <item x="40"/>
        <item x="16"/>
        <item x="8"/>
        <item x="4"/>
        <item x="12"/>
        <item x="36"/>
        <item x="0"/>
        <item x="32"/>
        <item x="24"/>
        <item x="28"/>
        <item x="20"/>
        <item x="17"/>
        <item x="9"/>
        <item x="5"/>
        <item x="13"/>
        <item x="37"/>
        <item x="1"/>
        <item x="33"/>
        <item x="25"/>
        <item x="29"/>
        <item x="18"/>
        <item x="21"/>
        <item x="10"/>
        <item x="6"/>
        <item x="14"/>
        <item x="38"/>
        <item x="2"/>
        <item x="34"/>
        <item x="26"/>
        <item x="30"/>
        <item x="22"/>
        <item x="19"/>
        <item x="11"/>
        <item x="7"/>
        <item x="15"/>
        <item x="39"/>
        <item x="3"/>
        <item x="35"/>
        <item x="27"/>
        <item x="31"/>
        <item x="23"/>
        <item t="default"/>
      </items>
    </pivotField>
    <pivotField numFmtId="44" showAll="0"/>
    <pivotField dataField="1" showAll="0"/>
    <pivotField showAll="0" defaultSubtotal="0">
      <items count="6">
        <item x="0"/>
        <item x="1"/>
        <item x="2"/>
        <item x="3"/>
        <item x="4"/>
        <item x="5"/>
      </items>
    </pivotField>
    <pivotField showAll="0" sortType="ascending" defaultSubtotal="0">
      <items count="6">
        <item h="1" x="0"/>
        <item h="1" x="5"/>
        <item sd="0" x="1"/>
        <item sd="0" x="2"/>
        <item sd="0" x="3"/>
        <item sd="0" x="4"/>
      </items>
    </pivotField>
  </pivotFields>
  <rowItems count="1">
    <i/>
  </rowItems>
  <colItems count="1">
    <i/>
  </colItems>
  <dataFields count="1">
    <dataField name="Sum of Profit" fld="1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9" name="PivotTable2"/>
    <pivotTable tabId="19" name="PivotTable5"/>
    <pivotTable tabId="19" name="PivotTable6"/>
    <pivotTable tabId="19" name="PivotTable7"/>
    <pivotTable tabId="19" name="SALES1"/>
    <pivotTable tabId="19" name="SALES2"/>
    <pivotTable tabId="19" name="SALES3"/>
    <pivotTable tabId="19" name="SALES4"/>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19" name="PivotTable2"/>
    <pivotTable tabId="19" name="PivotTable5"/>
    <pivotTable tabId="19" name="PivotTable6"/>
    <pivotTable tabId="19" name="PivotTable7"/>
    <pivotTable tabId="19" name="PRO1"/>
    <pivotTable tabId="19" name="PRO2"/>
    <pivotTable tabId="19" name="PRO3"/>
    <pivotTable tabId="19" name="PRO4"/>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columnCount="3" style="SlicerStyleLight1 2" rowHeight="18288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 caption="Country" columnCount="3" style="SlicerStyleLight1 2" rowHeight="241300"/>
  <slicer name="Years" cache="Slicer_Years" caption="Years" columnCount="4" style="SlicerStyleLight4" rowHeight="241300"/>
</slicers>
</file>

<file path=xl/tables/table1.xml><?xml version="1.0" encoding="utf-8"?>
<table xmlns="http://schemas.openxmlformats.org/spreadsheetml/2006/main" id="2" name="Table2" displayName="Table2" ref="A1:O1001" totalsRowShown="0" headerRowDxfId="14">
  <autoFilter ref="A1:O1001">
    <filterColumn colId="10">
      <filters>
        <filter val="DOUBLE"/>
        <filter val="LIGHT"/>
        <filter val="MEDIUM"/>
      </filters>
    </filterColumn>
  </autoFilter>
  <tableColumns count="15">
    <tableColumn id="1" name="Order ID" dataDxfId="13"/>
    <tableColumn id="2" name="Order Date" dataDxfId="12"/>
    <tableColumn id="3" name="Customer ID" dataDxfId="11"/>
    <tableColumn id="4" name="Product ID"/>
    <tableColumn id="5" name="Quantity" dataDxfId="10"/>
    <tableColumn id="6" name="Customer Name" dataDxfId="9"/>
    <tableColumn id="7" name="Email" dataDxfId="8"/>
    <tableColumn id="8" name="Country" dataDxfId="7"/>
    <tableColumn id="9" name="City" dataDxfId="6"/>
    <tableColumn id="10" name="Coffee Type"/>
    <tableColumn id="11" name="Roast Type"/>
    <tableColumn id="12" name="Size"/>
    <tableColumn id="13" name="Unit Price"/>
    <tableColumn id="14" name="Sales" dataDxfId="5"/>
    <tableColumn id="17" name="Profit" dataDxfId="4"/>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W25" sqref="W25"/>
    </sheetView>
  </sheetViews>
  <sheetFormatPr defaultRowHeight="15" x14ac:dyDescent="0.25"/>
  <sheetData/>
  <sheetProtection password="CC41" sheet="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K31" sqref="K31"/>
    </sheetView>
  </sheetViews>
  <sheetFormatPr defaultRowHeight="15" x14ac:dyDescent="0.25"/>
  <cols>
    <col min="1" max="1" width="23.28515625" bestFit="1" customWidth="1"/>
    <col min="2" max="2" width="12.140625" customWidth="1"/>
    <col min="3" max="3" width="13" customWidth="1"/>
    <col min="4" max="4" width="13.140625" customWidth="1"/>
    <col min="5" max="5" width="18.28515625" customWidth="1"/>
    <col min="6" max="6" width="20.140625" bestFit="1" customWidth="1"/>
    <col min="7" max="7" width="13.140625" customWidth="1"/>
    <col min="8" max="8" width="16.5703125" customWidth="1"/>
    <col min="9" max="9" width="12.5703125" bestFit="1" customWidth="1"/>
    <col min="10" max="10" width="13.140625" bestFit="1" customWidth="1"/>
    <col min="11" max="11" width="27.7109375" bestFit="1" customWidth="1"/>
    <col min="12" max="12" width="13.140625" bestFit="1" customWidth="1"/>
    <col min="13" max="13" width="12.140625" bestFit="1" customWidth="1"/>
  </cols>
  <sheetData>
    <row r="1" spans="1:11" x14ac:dyDescent="0.25">
      <c r="A1" t="s">
        <v>6219</v>
      </c>
      <c r="C1" t="s">
        <v>6220</v>
      </c>
      <c r="E1" t="s">
        <v>6221</v>
      </c>
    </row>
    <row r="2" spans="1:11" x14ac:dyDescent="0.25">
      <c r="A2" s="21">
        <v>2448.0099999999998</v>
      </c>
      <c r="C2" s="7">
        <v>251.43474999999998</v>
      </c>
      <c r="E2" s="16">
        <v>1000</v>
      </c>
    </row>
    <row r="3" spans="1:11" x14ac:dyDescent="0.25">
      <c r="A3" t="s">
        <v>6200</v>
      </c>
      <c r="C3" t="s">
        <v>6201</v>
      </c>
      <c r="E3" t="s">
        <v>6199</v>
      </c>
      <c r="G3" s="8" t="s">
        <v>6197</v>
      </c>
      <c r="H3" t="s">
        <v>6212</v>
      </c>
      <c r="J3" s="8" t="s">
        <v>6197</v>
      </c>
      <c r="K3" t="s">
        <v>6222</v>
      </c>
    </row>
    <row r="4" spans="1:11" x14ac:dyDescent="0.25">
      <c r="A4" s="21">
        <v>2448.0099999999998</v>
      </c>
      <c r="C4" s="7">
        <v>251.43474999999998</v>
      </c>
      <c r="E4" s="16">
        <v>1000</v>
      </c>
      <c r="G4" s="9" t="s">
        <v>6209</v>
      </c>
      <c r="H4" s="17">
        <v>16</v>
      </c>
      <c r="J4" s="9" t="s">
        <v>6209</v>
      </c>
      <c r="K4" s="17">
        <v>16</v>
      </c>
    </row>
    <row r="5" spans="1:11" x14ac:dyDescent="0.25">
      <c r="G5" s="9" t="s">
        <v>6210</v>
      </c>
      <c r="H5" s="17">
        <v>16</v>
      </c>
      <c r="J5" s="9" t="s">
        <v>6210</v>
      </c>
      <c r="K5" s="17">
        <v>16</v>
      </c>
    </row>
    <row r="6" spans="1:11" x14ac:dyDescent="0.25">
      <c r="A6" s="8" t="s">
        <v>6197</v>
      </c>
      <c r="B6" t="s">
        <v>6196</v>
      </c>
      <c r="D6" s="8" t="s">
        <v>6197</v>
      </c>
      <c r="E6" t="s">
        <v>6214</v>
      </c>
      <c r="G6" s="9" t="s">
        <v>6211</v>
      </c>
      <c r="H6" s="17">
        <v>16</v>
      </c>
      <c r="J6" s="9" t="s">
        <v>6211</v>
      </c>
      <c r="K6" s="17">
        <v>16</v>
      </c>
    </row>
    <row r="7" spans="1:11" x14ac:dyDescent="0.25">
      <c r="A7" s="9" t="s">
        <v>6202</v>
      </c>
      <c r="B7" s="7">
        <v>583.84</v>
      </c>
      <c r="D7" s="9" t="s">
        <v>6202</v>
      </c>
      <c r="E7" s="7">
        <v>63.926900000000003</v>
      </c>
      <c r="G7" s="9" t="s">
        <v>6198</v>
      </c>
      <c r="H7" s="17">
        <v>48</v>
      </c>
      <c r="J7" s="9" t="s">
        <v>6198</v>
      </c>
      <c r="K7" s="17">
        <v>48</v>
      </c>
    </row>
    <row r="8" spans="1:11" x14ac:dyDescent="0.25">
      <c r="A8" s="9" t="s">
        <v>6203</v>
      </c>
      <c r="B8" s="7">
        <v>473.91999999999996</v>
      </c>
      <c r="D8" s="9" t="s">
        <v>6203</v>
      </c>
      <c r="E8" s="7">
        <v>43.381050000000002</v>
      </c>
    </row>
    <row r="9" spans="1:11" x14ac:dyDescent="0.25">
      <c r="A9" s="9" t="s">
        <v>6204</v>
      </c>
      <c r="B9" s="7">
        <v>983.74999999999977</v>
      </c>
      <c r="D9" s="9" t="s">
        <v>6204</v>
      </c>
      <c r="E9" s="7">
        <v>114.01939999999998</v>
      </c>
      <c r="G9" s="19" t="s">
        <v>6217</v>
      </c>
    </row>
    <row r="10" spans="1:11" x14ac:dyDescent="0.25">
      <c r="A10" s="9" t="s">
        <v>6205</v>
      </c>
      <c r="B10" s="7">
        <v>406.5</v>
      </c>
      <c r="D10" s="9" t="s">
        <v>6205</v>
      </c>
      <c r="E10" s="7">
        <v>30.107399999999998</v>
      </c>
      <c r="G10" s="20">
        <f>(GETPIVOTDATA("Profit",$C$3)/GETPIVOTDATA("Sales",$A$3))*100</f>
        <v>10.270985412641288</v>
      </c>
    </row>
    <row r="11" spans="1:11" x14ac:dyDescent="0.25">
      <c r="A11" s="9" t="s">
        <v>6198</v>
      </c>
      <c r="B11" s="7">
        <v>2448.0099999999998</v>
      </c>
      <c r="D11" s="9" t="s">
        <v>6198</v>
      </c>
      <c r="E11" s="7">
        <v>251.43474999999995</v>
      </c>
      <c r="G11" s="7"/>
      <c r="H11" s="6"/>
    </row>
    <row r="12" spans="1:11" x14ac:dyDescent="0.25">
      <c r="G12" s="19" t="s">
        <v>6218</v>
      </c>
    </row>
    <row r="13" spans="1:11" x14ac:dyDescent="0.25">
      <c r="A13" s="12" t="s">
        <v>6197</v>
      </c>
      <c r="B13" s="13" t="s">
        <v>6206</v>
      </c>
      <c r="D13" s="8" t="s">
        <v>6197</v>
      </c>
      <c r="E13" t="s">
        <v>6208</v>
      </c>
      <c r="G13" s="22">
        <f>(GETPIVOTDATA("Profit",$C$3)/GETPIVOTDATA("Order ID",$G$3))</f>
        <v>5.2382239583333332</v>
      </c>
    </row>
    <row r="14" spans="1:11" x14ac:dyDescent="0.25">
      <c r="A14" s="14" t="s">
        <v>6193</v>
      </c>
      <c r="B14" s="15">
        <v>374.91499999999996</v>
      </c>
      <c r="D14" s="9" t="s">
        <v>318</v>
      </c>
      <c r="E14" s="7">
        <v>42.433149999999998</v>
      </c>
      <c r="G14" s="8" t="s">
        <v>6197</v>
      </c>
      <c r="H14" t="s">
        <v>6208</v>
      </c>
    </row>
    <row r="15" spans="1:11" x14ac:dyDescent="0.25">
      <c r="A15" s="14" t="s">
        <v>6192</v>
      </c>
      <c r="B15" s="15">
        <v>574.59500000000003</v>
      </c>
      <c r="D15" s="9" t="s">
        <v>28</v>
      </c>
      <c r="E15" s="7">
        <v>10.100999999999999</v>
      </c>
      <c r="G15" s="14" t="s">
        <v>318</v>
      </c>
      <c r="H15" s="15">
        <v>42.433149999999998</v>
      </c>
      <c r="J15" s="8" t="s">
        <v>6197</v>
      </c>
      <c r="K15" t="s">
        <v>6216</v>
      </c>
    </row>
    <row r="16" spans="1:11" x14ac:dyDescent="0.25">
      <c r="A16" s="14" t="s">
        <v>6194</v>
      </c>
      <c r="B16" s="15">
        <v>579.41499999999996</v>
      </c>
      <c r="D16" s="9" t="s">
        <v>19</v>
      </c>
      <c r="E16" s="7">
        <v>198.90059999999997</v>
      </c>
      <c r="G16" s="14" t="s">
        <v>28</v>
      </c>
      <c r="H16" s="15">
        <v>10.100999999999999</v>
      </c>
      <c r="J16" s="18">
        <v>0.2</v>
      </c>
      <c r="K16" s="7">
        <v>13.401300000000001</v>
      </c>
    </row>
    <row r="17" spans="1:11" x14ac:dyDescent="0.25">
      <c r="A17" s="14" t="s">
        <v>6195</v>
      </c>
      <c r="B17" s="15">
        <v>919.08500000000004</v>
      </c>
      <c r="D17" s="9" t="s">
        <v>6198</v>
      </c>
      <c r="E17" s="7">
        <v>251.43474999999995</v>
      </c>
      <c r="G17" s="14" t="s">
        <v>19</v>
      </c>
      <c r="H17" s="15">
        <v>198.90059999999997</v>
      </c>
      <c r="J17" s="18">
        <v>0.5</v>
      </c>
      <c r="K17" s="7">
        <v>33.6648</v>
      </c>
    </row>
    <row r="18" spans="1:11" x14ac:dyDescent="0.25">
      <c r="A18" s="9" t="s">
        <v>6198</v>
      </c>
      <c r="B18" s="7">
        <v>2448.0100000000002</v>
      </c>
      <c r="G18" s="9" t="s">
        <v>6198</v>
      </c>
      <c r="H18" s="7">
        <v>251.43474999999995</v>
      </c>
      <c r="J18" s="18">
        <v>1</v>
      </c>
      <c r="K18" s="7">
        <v>57.650500000000001</v>
      </c>
    </row>
    <row r="19" spans="1:11" x14ac:dyDescent="0.25">
      <c r="J19" s="18">
        <v>2.5</v>
      </c>
      <c r="K19" s="7">
        <v>146.71814999999998</v>
      </c>
    </row>
    <row r="20" spans="1:11" x14ac:dyDescent="0.25">
      <c r="A20" s="12" t="s">
        <v>6197</v>
      </c>
      <c r="B20" s="13" t="s">
        <v>6207</v>
      </c>
      <c r="D20" s="8" t="s">
        <v>6197</v>
      </c>
      <c r="E20" t="s">
        <v>6215</v>
      </c>
      <c r="G20" s="8" t="s">
        <v>6197</v>
      </c>
      <c r="H20" t="s">
        <v>6196</v>
      </c>
      <c r="J20" s="18" t="s">
        <v>6198</v>
      </c>
      <c r="K20" s="7">
        <v>251.43474999999998</v>
      </c>
    </row>
    <row r="21" spans="1:11" x14ac:dyDescent="0.25">
      <c r="A21" s="14" t="s">
        <v>6210</v>
      </c>
      <c r="B21" s="15">
        <v>918.45999999999981</v>
      </c>
      <c r="D21" s="9" t="s">
        <v>6195</v>
      </c>
      <c r="E21" s="7">
        <v>119.48104999999998</v>
      </c>
      <c r="G21" s="14" t="s">
        <v>19</v>
      </c>
      <c r="H21" s="15">
        <v>1994.6949999999999</v>
      </c>
    </row>
    <row r="22" spans="1:11" x14ac:dyDescent="0.25">
      <c r="A22" s="14" t="s">
        <v>6211</v>
      </c>
      <c r="B22" s="15">
        <v>749.51</v>
      </c>
      <c r="D22" s="9" t="s">
        <v>6194</v>
      </c>
      <c r="E22" s="7">
        <v>63.735650000000007</v>
      </c>
      <c r="G22" s="14" t="s">
        <v>318</v>
      </c>
      <c r="H22" s="15">
        <v>375.61500000000001</v>
      </c>
      <c r="J22" t="s">
        <v>6213</v>
      </c>
    </row>
    <row r="23" spans="1:11" x14ac:dyDescent="0.25">
      <c r="A23" s="14" t="s">
        <v>6209</v>
      </c>
      <c r="B23" s="15">
        <v>780.03999999999985</v>
      </c>
      <c r="D23" s="9" t="s">
        <v>6192</v>
      </c>
      <c r="E23" s="7">
        <v>34.475699999999996</v>
      </c>
      <c r="G23" s="14" t="s">
        <v>28</v>
      </c>
      <c r="H23" s="15">
        <v>77.699999999999989</v>
      </c>
      <c r="J23" s="6">
        <v>251.43474999999998</v>
      </c>
    </row>
    <row r="24" spans="1:11" x14ac:dyDescent="0.25">
      <c r="A24" s="9" t="s">
        <v>6198</v>
      </c>
      <c r="B24" s="7">
        <v>2448.0099999999998</v>
      </c>
      <c r="D24" s="9" t="s">
        <v>6193</v>
      </c>
      <c r="E24" s="7">
        <v>33.742349999999995</v>
      </c>
      <c r="G24" s="9" t="s">
        <v>6198</v>
      </c>
      <c r="H24" s="7">
        <v>2448.0099999999998</v>
      </c>
    </row>
    <row r="25" spans="1:11" x14ac:dyDescent="0.25">
      <c r="D25" s="9" t="s">
        <v>6198</v>
      </c>
      <c r="E25" s="7">
        <v>251.43474999999998</v>
      </c>
    </row>
  </sheetData>
  <pageMargins left="0.7" right="0.7" top="0.75" bottom="0.75" header="0.3" footer="0.3"/>
  <pageSetup orientation="portrait"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abSelected="1" zoomScaleNormal="100" workbookViewId="0">
      <selection activeCell="K1" sqref="K1:K1048576"/>
    </sheetView>
  </sheetViews>
  <sheetFormatPr defaultRowHeight="15" x14ac:dyDescent="0.25"/>
  <cols>
    <col min="1" max="1" width="15.5703125" bestFit="1" customWidth="1"/>
    <col min="2" max="2" width="12.85546875" customWidth="1"/>
    <col min="3" max="3" width="16.285156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20.7109375" bestFit="1" customWidth="1"/>
    <col min="10" max="10" width="13.85546875" customWidth="1"/>
    <col min="11" max="11" width="12.7109375" customWidth="1"/>
    <col min="12" max="12" width="6.7109375" customWidth="1"/>
    <col min="13" max="13" width="11.85546875" customWidth="1"/>
    <col min="14" max="14" width="10.28515625" customWidth="1"/>
    <col min="15" max="15" width="10.85546875" customWidth="1"/>
  </cols>
  <sheetData>
    <row r="1" spans="1:15" s="11" customFormat="1" ht="15.75" x14ac:dyDescent="0.25">
      <c r="A1" s="10" t="s">
        <v>0</v>
      </c>
      <c r="B1" s="10" t="s">
        <v>1</v>
      </c>
      <c r="C1" s="10" t="s">
        <v>3</v>
      </c>
      <c r="D1" s="10" t="s">
        <v>11</v>
      </c>
      <c r="E1" s="10" t="s">
        <v>14</v>
      </c>
      <c r="F1" s="10" t="s">
        <v>4</v>
      </c>
      <c r="G1" s="10" t="s">
        <v>2</v>
      </c>
      <c r="H1" s="10" t="s">
        <v>7</v>
      </c>
      <c r="I1" s="10" t="s">
        <v>6</v>
      </c>
      <c r="J1" s="10" t="s">
        <v>9</v>
      </c>
      <c r="K1" s="10" t="s">
        <v>10</v>
      </c>
      <c r="L1" s="10" t="s">
        <v>12</v>
      </c>
      <c r="M1" s="10" t="s">
        <v>13</v>
      </c>
      <c r="N1" s="10" t="s">
        <v>15</v>
      </c>
      <c r="O1" s="10" t="s">
        <v>16</v>
      </c>
    </row>
    <row r="2" spans="1:15" x14ac:dyDescent="0.25">
      <c r="A2" s="2" t="s">
        <v>490</v>
      </c>
      <c r="B2" s="3">
        <v>43713</v>
      </c>
      <c r="C2" s="2" t="s">
        <v>491</v>
      </c>
      <c r="D2" t="s">
        <v>6138</v>
      </c>
      <c r="E2" s="2">
        <v>2</v>
      </c>
      <c r="F2" s="2" t="s">
        <v>492</v>
      </c>
      <c r="G2" s="4" t="s">
        <v>493</v>
      </c>
      <c r="H2" s="2" t="s">
        <v>19</v>
      </c>
      <c r="I2" s="2" t="s">
        <v>266</v>
      </c>
      <c r="J2" t="s">
        <v>6193</v>
      </c>
      <c r="K2" t="s">
        <v>6210</v>
      </c>
      <c r="L2">
        <v>0.2</v>
      </c>
      <c r="M2">
        <v>3.8849999999999998</v>
      </c>
      <c r="N2" s="5">
        <v>7.77</v>
      </c>
      <c r="O2">
        <v>0.69929999999999992</v>
      </c>
    </row>
    <row r="3" spans="1:15" x14ac:dyDescent="0.25">
      <c r="A3" s="2" t="s">
        <v>490</v>
      </c>
      <c r="B3" s="3">
        <v>43713</v>
      </c>
      <c r="C3" s="2" t="s">
        <v>491</v>
      </c>
      <c r="D3" t="s">
        <v>6139</v>
      </c>
      <c r="E3" s="2">
        <v>5</v>
      </c>
      <c r="F3" s="2" t="s">
        <v>497</v>
      </c>
      <c r="G3" s="4" t="s">
        <v>498</v>
      </c>
      <c r="H3" s="2" t="s">
        <v>318</v>
      </c>
      <c r="I3" s="2" t="s">
        <v>329</v>
      </c>
      <c r="J3" t="s">
        <v>6193</v>
      </c>
      <c r="K3" t="s">
        <v>6210</v>
      </c>
      <c r="L3">
        <v>0.5</v>
      </c>
      <c r="M3">
        <v>7.77</v>
      </c>
      <c r="N3" s="5">
        <v>38.849999999999994</v>
      </c>
      <c r="O3">
        <v>3.4964999999999997</v>
      </c>
    </row>
    <row r="4" spans="1:15" x14ac:dyDescent="0.25">
      <c r="A4" s="2" t="s">
        <v>501</v>
      </c>
      <c r="B4" s="3">
        <v>44364</v>
      </c>
      <c r="C4" s="2" t="s">
        <v>502</v>
      </c>
      <c r="D4" t="s">
        <v>6140</v>
      </c>
      <c r="E4" s="2">
        <v>1</v>
      </c>
      <c r="F4" s="2" t="s">
        <v>503</v>
      </c>
      <c r="G4" s="4" t="s">
        <v>504</v>
      </c>
      <c r="H4" s="2" t="s">
        <v>19</v>
      </c>
      <c r="I4" s="2" t="s">
        <v>125</v>
      </c>
      <c r="J4" t="s">
        <v>6193</v>
      </c>
      <c r="K4" t="s">
        <v>6210</v>
      </c>
      <c r="L4">
        <v>1</v>
      </c>
      <c r="M4">
        <v>12.95</v>
      </c>
      <c r="N4" s="5">
        <v>12.95</v>
      </c>
      <c r="O4">
        <v>1.1655</v>
      </c>
    </row>
    <row r="5" spans="1:15" x14ac:dyDescent="0.25">
      <c r="A5" s="2" t="s">
        <v>512</v>
      </c>
      <c r="B5" s="3">
        <v>44392</v>
      </c>
      <c r="C5" s="2" t="s">
        <v>513</v>
      </c>
      <c r="D5" t="s">
        <v>6141</v>
      </c>
      <c r="E5" s="2">
        <v>2</v>
      </c>
      <c r="F5" s="2" t="s">
        <v>508</v>
      </c>
      <c r="G5" s="4" t="s">
        <v>509</v>
      </c>
      <c r="H5" s="2" t="s">
        <v>19</v>
      </c>
      <c r="I5" s="2" t="s">
        <v>83</v>
      </c>
      <c r="J5" t="s">
        <v>6193</v>
      </c>
      <c r="K5" t="s">
        <v>6210</v>
      </c>
      <c r="L5">
        <v>2.5</v>
      </c>
      <c r="M5">
        <v>29.784999999999997</v>
      </c>
      <c r="N5" s="5">
        <v>59.569999999999993</v>
      </c>
      <c r="O5">
        <v>5.3612999999999991</v>
      </c>
    </row>
    <row r="6" spans="1:15" x14ac:dyDescent="0.25">
      <c r="A6" s="2" t="s">
        <v>512</v>
      </c>
      <c r="B6" s="3">
        <v>44392</v>
      </c>
      <c r="C6" s="2" t="s">
        <v>513</v>
      </c>
      <c r="D6" t="s">
        <v>6142</v>
      </c>
      <c r="E6" s="2">
        <v>2</v>
      </c>
      <c r="F6" s="2" t="s">
        <v>514</v>
      </c>
      <c r="G6" s="4">
        <v>0</v>
      </c>
      <c r="H6" s="2" t="s">
        <v>318</v>
      </c>
      <c r="I6" s="2" t="s">
        <v>517</v>
      </c>
      <c r="J6" t="s">
        <v>6193</v>
      </c>
      <c r="K6" t="s">
        <v>6211</v>
      </c>
      <c r="L6">
        <v>0.2</v>
      </c>
      <c r="M6">
        <v>3.375</v>
      </c>
      <c r="N6" s="5">
        <v>6.75</v>
      </c>
      <c r="O6">
        <v>0.60749999999999993</v>
      </c>
    </row>
    <row r="7" spans="1:15" x14ac:dyDescent="0.25">
      <c r="A7" s="2" t="s">
        <v>519</v>
      </c>
      <c r="B7" s="3">
        <v>44412</v>
      </c>
      <c r="C7" s="2" t="s">
        <v>520</v>
      </c>
      <c r="D7" t="s">
        <v>6143</v>
      </c>
      <c r="E7" s="2">
        <v>3</v>
      </c>
      <c r="F7" s="2" t="s">
        <v>521</v>
      </c>
      <c r="G7" s="4">
        <v>0</v>
      </c>
      <c r="H7" s="2" t="s">
        <v>19</v>
      </c>
      <c r="I7" s="2" t="s">
        <v>110</v>
      </c>
      <c r="J7" t="s">
        <v>6193</v>
      </c>
      <c r="K7" t="s">
        <v>6211</v>
      </c>
      <c r="L7">
        <v>0.5</v>
      </c>
      <c r="M7">
        <v>6.75</v>
      </c>
      <c r="N7" s="5">
        <v>20.25</v>
      </c>
      <c r="O7">
        <v>1.8224999999999998</v>
      </c>
    </row>
    <row r="8" spans="1:15" x14ac:dyDescent="0.25">
      <c r="A8" s="2" t="s">
        <v>524</v>
      </c>
      <c r="B8" s="3">
        <v>44582</v>
      </c>
      <c r="C8" s="2" t="s">
        <v>525</v>
      </c>
      <c r="D8" t="s">
        <v>6144</v>
      </c>
      <c r="E8" s="2">
        <v>3</v>
      </c>
      <c r="F8" s="2" t="s">
        <v>526</v>
      </c>
      <c r="G8" s="4" t="s">
        <v>527</v>
      </c>
      <c r="H8" s="2" t="s">
        <v>19</v>
      </c>
      <c r="I8" s="2" t="s">
        <v>203</v>
      </c>
      <c r="J8" t="s">
        <v>6193</v>
      </c>
      <c r="K8" t="s">
        <v>6211</v>
      </c>
      <c r="L8">
        <v>1</v>
      </c>
      <c r="M8">
        <v>11.25</v>
      </c>
      <c r="N8" s="5">
        <v>33.75</v>
      </c>
      <c r="O8">
        <v>3.0374999999999996</v>
      </c>
    </row>
    <row r="9" spans="1:15" x14ac:dyDescent="0.25">
      <c r="A9" s="2" t="s">
        <v>530</v>
      </c>
      <c r="B9" s="3">
        <v>44701</v>
      </c>
      <c r="C9" s="2" t="s">
        <v>531</v>
      </c>
      <c r="D9" t="s">
        <v>6145</v>
      </c>
      <c r="E9" s="2">
        <v>1</v>
      </c>
      <c r="F9" s="2" t="s">
        <v>532</v>
      </c>
      <c r="G9" s="4">
        <v>0</v>
      </c>
      <c r="H9" s="2" t="s">
        <v>318</v>
      </c>
      <c r="I9" s="2" t="s">
        <v>386</v>
      </c>
      <c r="J9" t="s">
        <v>6193</v>
      </c>
      <c r="K9" t="s">
        <v>6211</v>
      </c>
      <c r="L9">
        <v>2.5</v>
      </c>
      <c r="M9">
        <v>25.874999999999996</v>
      </c>
      <c r="N9" s="5">
        <v>25.874999999999996</v>
      </c>
      <c r="O9">
        <v>2.3287499999999994</v>
      </c>
    </row>
    <row r="10" spans="1:15" x14ac:dyDescent="0.25">
      <c r="A10" s="2" t="s">
        <v>535</v>
      </c>
      <c r="B10" s="3">
        <v>43467</v>
      </c>
      <c r="C10" s="2" t="s">
        <v>536</v>
      </c>
      <c r="D10" t="s">
        <v>6146</v>
      </c>
      <c r="E10" s="2">
        <v>3</v>
      </c>
      <c r="F10" s="2" t="s">
        <v>537</v>
      </c>
      <c r="G10" s="4" t="s">
        <v>538</v>
      </c>
      <c r="H10" s="2" t="s">
        <v>19</v>
      </c>
      <c r="I10" s="2" t="s">
        <v>27</v>
      </c>
      <c r="J10" t="s">
        <v>6193</v>
      </c>
      <c r="K10" t="s">
        <v>6209</v>
      </c>
      <c r="L10">
        <v>0.2</v>
      </c>
      <c r="M10">
        <v>2.9849999999999999</v>
      </c>
      <c r="N10" s="5">
        <v>8.9550000000000001</v>
      </c>
      <c r="O10">
        <v>0.80594999999999994</v>
      </c>
    </row>
    <row r="11" spans="1:15" x14ac:dyDescent="0.25">
      <c r="A11" s="2" t="s">
        <v>541</v>
      </c>
      <c r="B11" s="3">
        <v>43713</v>
      </c>
      <c r="C11" s="2" t="s">
        <v>542</v>
      </c>
      <c r="D11" t="s">
        <v>6146</v>
      </c>
      <c r="E11" s="2">
        <v>1</v>
      </c>
      <c r="F11" s="2" t="s">
        <v>543</v>
      </c>
      <c r="G11" s="4" t="s">
        <v>544</v>
      </c>
      <c r="H11" s="2" t="s">
        <v>19</v>
      </c>
      <c r="I11" s="2" t="s">
        <v>27</v>
      </c>
      <c r="J11" t="s">
        <v>6193</v>
      </c>
      <c r="K11" t="s">
        <v>6209</v>
      </c>
      <c r="L11">
        <v>0.5</v>
      </c>
      <c r="M11">
        <v>5.97</v>
      </c>
      <c r="N11" s="5">
        <v>5.97</v>
      </c>
      <c r="O11">
        <v>0.5373</v>
      </c>
    </row>
    <row r="12" spans="1:15" x14ac:dyDescent="0.25">
      <c r="A12" s="2" t="s">
        <v>547</v>
      </c>
      <c r="B12" s="3">
        <v>44263</v>
      </c>
      <c r="C12" s="2" t="s">
        <v>548</v>
      </c>
      <c r="D12" t="s">
        <v>6147</v>
      </c>
      <c r="E12" s="2">
        <v>4</v>
      </c>
      <c r="F12" s="2" t="s">
        <v>549</v>
      </c>
      <c r="G12" s="4" t="s">
        <v>550</v>
      </c>
      <c r="H12" s="2" t="s">
        <v>19</v>
      </c>
      <c r="I12" s="2" t="s">
        <v>98</v>
      </c>
      <c r="J12" t="s">
        <v>6193</v>
      </c>
      <c r="K12" t="s">
        <v>6209</v>
      </c>
      <c r="L12">
        <v>1</v>
      </c>
      <c r="M12">
        <v>9.9499999999999993</v>
      </c>
      <c r="N12" s="5">
        <v>39.799999999999997</v>
      </c>
      <c r="O12">
        <v>3.5819999999999994</v>
      </c>
    </row>
    <row r="13" spans="1:15" x14ac:dyDescent="0.25">
      <c r="A13" s="2" t="s">
        <v>553</v>
      </c>
      <c r="B13" s="3">
        <v>44132</v>
      </c>
      <c r="C13" s="2" t="s">
        <v>554</v>
      </c>
      <c r="D13" t="s">
        <v>6148</v>
      </c>
      <c r="E13" s="2">
        <v>5</v>
      </c>
      <c r="F13" s="2" t="s">
        <v>555</v>
      </c>
      <c r="G13" s="4" t="s">
        <v>556</v>
      </c>
      <c r="H13" s="2" t="s">
        <v>19</v>
      </c>
      <c r="I13" s="2" t="s">
        <v>98</v>
      </c>
      <c r="J13" t="s">
        <v>6193</v>
      </c>
      <c r="K13" t="s">
        <v>6209</v>
      </c>
      <c r="L13">
        <v>2.5</v>
      </c>
      <c r="M13">
        <v>22.884999999999998</v>
      </c>
      <c r="N13" s="5">
        <v>114.42499999999998</v>
      </c>
      <c r="O13">
        <v>10.298249999999998</v>
      </c>
    </row>
    <row r="14" spans="1:15" x14ac:dyDescent="0.25">
      <c r="A14" s="2" t="s">
        <v>559</v>
      </c>
      <c r="B14" s="3">
        <v>44744</v>
      </c>
      <c r="C14" s="2" t="s">
        <v>560</v>
      </c>
      <c r="D14" t="s">
        <v>6138</v>
      </c>
      <c r="E14" s="2">
        <v>5</v>
      </c>
      <c r="F14" s="2" t="s">
        <v>561</v>
      </c>
      <c r="G14" s="4" t="s">
        <v>562</v>
      </c>
      <c r="H14" s="2" t="s">
        <v>19</v>
      </c>
      <c r="I14" s="2" t="s">
        <v>38</v>
      </c>
      <c r="J14" t="s">
        <v>6192</v>
      </c>
      <c r="K14" t="s">
        <v>6210</v>
      </c>
      <c r="L14">
        <v>0.2</v>
      </c>
      <c r="M14">
        <v>3.5849999999999995</v>
      </c>
      <c r="N14" s="5">
        <v>17.924999999999997</v>
      </c>
      <c r="O14">
        <v>1.0754999999999999</v>
      </c>
    </row>
    <row r="15" spans="1:15" x14ac:dyDescent="0.25">
      <c r="A15" s="2" t="s">
        <v>565</v>
      </c>
      <c r="B15" s="3">
        <v>43973</v>
      </c>
      <c r="C15" s="2" t="s">
        <v>566</v>
      </c>
      <c r="D15" t="s">
        <v>6149</v>
      </c>
      <c r="E15" s="2">
        <v>2</v>
      </c>
      <c r="F15" s="2" t="s">
        <v>567</v>
      </c>
      <c r="G15" s="4" t="s">
        <v>568</v>
      </c>
      <c r="H15" s="2" t="s">
        <v>19</v>
      </c>
      <c r="I15" s="2" t="s">
        <v>269</v>
      </c>
      <c r="J15" t="s">
        <v>6192</v>
      </c>
      <c r="K15" t="s">
        <v>6210</v>
      </c>
      <c r="L15">
        <v>0.5</v>
      </c>
      <c r="M15">
        <v>7.169999999999999</v>
      </c>
      <c r="N15" s="5">
        <v>14.339999999999998</v>
      </c>
      <c r="O15">
        <v>0.86039999999999983</v>
      </c>
    </row>
    <row r="16" spans="1:15" x14ac:dyDescent="0.25">
      <c r="A16" s="2" t="s">
        <v>570</v>
      </c>
      <c r="B16" s="3">
        <v>44656</v>
      </c>
      <c r="C16" s="2" t="s">
        <v>571</v>
      </c>
      <c r="D16" t="s">
        <v>6150</v>
      </c>
      <c r="E16" s="2">
        <v>3</v>
      </c>
      <c r="F16" s="2" t="s">
        <v>572</v>
      </c>
      <c r="G16" s="4" t="s">
        <v>573</v>
      </c>
      <c r="H16" s="2" t="s">
        <v>19</v>
      </c>
      <c r="I16" s="2" t="s">
        <v>104</v>
      </c>
      <c r="J16" t="s">
        <v>6192</v>
      </c>
      <c r="K16" t="s">
        <v>6210</v>
      </c>
      <c r="L16">
        <v>1</v>
      </c>
      <c r="M16">
        <v>11.95</v>
      </c>
      <c r="N16" s="5">
        <v>35.849999999999994</v>
      </c>
      <c r="O16">
        <v>2.1509999999999998</v>
      </c>
    </row>
    <row r="17" spans="1:15" x14ac:dyDescent="0.25">
      <c r="A17" s="2" t="s">
        <v>576</v>
      </c>
      <c r="B17" s="3">
        <v>44719</v>
      </c>
      <c r="C17" s="2" t="s">
        <v>577</v>
      </c>
      <c r="D17" t="s">
        <v>6151</v>
      </c>
      <c r="E17" s="2">
        <v>5</v>
      </c>
      <c r="F17" s="2" t="s">
        <v>578</v>
      </c>
      <c r="G17" s="4" t="s">
        <v>579</v>
      </c>
      <c r="H17" s="2" t="s">
        <v>19</v>
      </c>
      <c r="I17" s="2" t="s">
        <v>46</v>
      </c>
      <c r="J17" t="s">
        <v>6192</v>
      </c>
      <c r="K17" t="s">
        <v>6210</v>
      </c>
      <c r="L17">
        <v>2.5</v>
      </c>
      <c r="M17">
        <v>27.484999999999996</v>
      </c>
      <c r="N17" s="5">
        <v>137.42499999999998</v>
      </c>
      <c r="O17">
        <v>8.2454999999999998</v>
      </c>
    </row>
    <row r="18" spans="1:15" x14ac:dyDescent="0.25">
      <c r="A18" s="2" t="s">
        <v>581</v>
      </c>
      <c r="B18" s="3">
        <v>43544</v>
      </c>
      <c r="C18" s="2" t="s">
        <v>582</v>
      </c>
      <c r="D18" t="s">
        <v>6152</v>
      </c>
      <c r="E18" s="2">
        <v>6</v>
      </c>
      <c r="F18" s="2" t="s">
        <v>583</v>
      </c>
      <c r="G18" s="4" t="s">
        <v>584</v>
      </c>
      <c r="H18" s="2" t="s">
        <v>19</v>
      </c>
      <c r="I18" s="2" t="s">
        <v>189</v>
      </c>
      <c r="J18" t="s">
        <v>6192</v>
      </c>
      <c r="K18" t="s">
        <v>6211</v>
      </c>
      <c r="L18">
        <v>0.2</v>
      </c>
      <c r="M18">
        <v>2.9849999999999999</v>
      </c>
      <c r="N18" s="5">
        <v>17.91</v>
      </c>
      <c r="O18">
        <v>1.0745999999999998</v>
      </c>
    </row>
    <row r="19" spans="1:15" x14ac:dyDescent="0.25">
      <c r="A19" s="2" t="s">
        <v>587</v>
      </c>
      <c r="B19" s="3">
        <v>43757</v>
      </c>
      <c r="C19" s="2" t="s">
        <v>588</v>
      </c>
      <c r="D19" t="s">
        <v>6140</v>
      </c>
      <c r="E19" s="2">
        <v>6</v>
      </c>
      <c r="F19" s="2" t="s">
        <v>589</v>
      </c>
      <c r="G19" s="4" t="s">
        <v>590</v>
      </c>
      <c r="H19" s="2" t="s">
        <v>19</v>
      </c>
      <c r="I19" s="2" t="s">
        <v>63</v>
      </c>
      <c r="J19" t="s">
        <v>6192</v>
      </c>
      <c r="K19" t="s">
        <v>6211</v>
      </c>
      <c r="L19">
        <v>0.5</v>
      </c>
      <c r="M19">
        <v>5.97</v>
      </c>
      <c r="N19" s="5">
        <v>35.82</v>
      </c>
      <c r="O19">
        <v>2.1491999999999996</v>
      </c>
    </row>
    <row r="20" spans="1:15" x14ac:dyDescent="0.25">
      <c r="A20" s="2" t="s">
        <v>593</v>
      </c>
      <c r="B20" s="3">
        <v>43629</v>
      </c>
      <c r="C20" s="2" t="s">
        <v>594</v>
      </c>
      <c r="D20" t="s">
        <v>6149</v>
      </c>
      <c r="E20" s="2">
        <v>4</v>
      </c>
      <c r="F20" s="2" t="s">
        <v>595</v>
      </c>
      <c r="G20" s="4" t="s">
        <v>596</v>
      </c>
      <c r="H20" s="2" t="s">
        <v>318</v>
      </c>
      <c r="I20" s="2" t="s">
        <v>474</v>
      </c>
      <c r="J20" t="s">
        <v>6192</v>
      </c>
      <c r="K20" t="s">
        <v>6211</v>
      </c>
      <c r="L20">
        <v>1</v>
      </c>
      <c r="M20">
        <v>9.9499999999999993</v>
      </c>
      <c r="N20" s="5">
        <v>39.799999999999997</v>
      </c>
      <c r="O20">
        <v>2.3879999999999999</v>
      </c>
    </row>
    <row r="21" spans="1:15" x14ac:dyDescent="0.25">
      <c r="A21" s="2" t="s">
        <v>598</v>
      </c>
      <c r="B21" s="3">
        <v>44169</v>
      </c>
      <c r="C21" s="2" t="s">
        <v>599</v>
      </c>
      <c r="D21" t="s">
        <v>6152</v>
      </c>
      <c r="E21" s="2">
        <v>5</v>
      </c>
      <c r="F21" s="2" t="s">
        <v>600</v>
      </c>
      <c r="G21" s="4" t="s">
        <v>601</v>
      </c>
      <c r="H21" s="2" t="s">
        <v>19</v>
      </c>
      <c r="I21" s="2" t="s">
        <v>57</v>
      </c>
      <c r="J21" t="s">
        <v>6192</v>
      </c>
      <c r="K21" t="s">
        <v>6211</v>
      </c>
      <c r="L21">
        <v>2.5</v>
      </c>
      <c r="M21">
        <v>22.884999999999998</v>
      </c>
      <c r="N21" s="5">
        <v>114.42499999999998</v>
      </c>
      <c r="O21">
        <v>6.865499999999999</v>
      </c>
    </row>
    <row r="22" spans="1:15" x14ac:dyDescent="0.25">
      <c r="A22" s="2" t="s">
        <v>598</v>
      </c>
      <c r="B22" s="3">
        <v>44169</v>
      </c>
      <c r="C22" s="2" t="s">
        <v>599</v>
      </c>
      <c r="D22" t="s">
        <v>6153</v>
      </c>
      <c r="E22" s="2">
        <v>4</v>
      </c>
      <c r="F22" s="2" t="s">
        <v>605</v>
      </c>
      <c r="G22" s="4">
        <v>0</v>
      </c>
      <c r="H22" s="2" t="s">
        <v>318</v>
      </c>
      <c r="I22" s="2" t="s">
        <v>435</v>
      </c>
      <c r="J22" t="s">
        <v>6192</v>
      </c>
      <c r="K22" t="s">
        <v>6209</v>
      </c>
      <c r="L22">
        <v>0.2</v>
      </c>
      <c r="M22">
        <v>2.6849999999999996</v>
      </c>
      <c r="N22" s="5">
        <v>10.739999999999998</v>
      </c>
      <c r="O22">
        <v>0.64439999999999986</v>
      </c>
    </row>
    <row r="23" spans="1:15" x14ac:dyDescent="0.25">
      <c r="A23" s="2" t="s">
        <v>608</v>
      </c>
      <c r="B23" s="3">
        <v>44169</v>
      </c>
      <c r="C23" s="2" t="s">
        <v>609</v>
      </c>
      <c r="D23" t="s">
        <v>6154</v>
      </c>
      <c r="E23" s="2">
        <v>6</v>
      </c>
      <c r="F23" s="2" t="s">
        <v>610</v>
      </c>
      <c r="G23" s="4" t="s">
        <v>611</v>
      </c>
      <c r="H23" s="2" t="s">
        <v>19</v>
      </c>
      <c r="I23" s="2" t="s">
        <v>183</v>
      </c>
      <c r="J23" t="s">
        <v>6192</v>
      </c>
      <c r="K23" t="s">
        <v>6209</v>
      </c>
      <c r="L23">
        <v>0.5</v>
      </c>
      <c r="M23">
        <v>5.3699999999999992</v>
      </c>
      <c r="N23" s="5">
        <v>32.22</v>
      </c>
      <c r="O23">
        <v>1.9331999999999996</v>
      </c>
    </row>
    <row r="24" spans="1:15" x14ac:dyDescent="0.25">
      <c r="A24" s="2" t="s">
        <v>614</v>
      </c>
      <c r="B24" s="3">
        <v>44218</v>
      </c>
      <c r="C24" s="2" t="s">
        <v>615</v>
      </c>
      <c r="D24" t="s">
        <v>6151</v>
      </c>
      <c r="E24" s="2">
        <v>4</v>
      </c>
      <c r="F24" s="2" t="s">
        <v>616</v>
      </c>
      <c r="G24" s="4" t="s">
        <v>617</v>
      </c>
      <c r="H24" s="2" t="s">
        <v>19</v>
      </c>
      <c r="I24" s="2" t="s">
        <v>211</v>
      </c>
      <c r="J24" t="s">
        <v>6192</v>
      </c>
      <c r="K24" t="s">
        <v>6209</v>
      </c>
      <c r="L24">
        <v>1</v>
      </c>
      <c r="M24">
        <v>8.9499999999999993</v>
      </c>
      <c r="N24" s="5">
        <v>35.799999999999997</v>
      </c>
      <c r="O24">
        <v>2.1479999999999997</v>
      </c>
    </row>
    <row r="25" spans="1:15" x14ac:dyDescent="0.25">
      <c r="A25" s="2" t="s">
        <v>620</v>
      </c>
      <c r="B25" s="3">
        <v>44603</v>
      </c>
      <c r="C25" s="2" t="s">
        <v>621</v>
      </c>
      <c r="D25" t="s">
        <v>6154</v>
      </c>
      <c r="E25" s="2">
        <v>4</v>
      </c>
      <c r="F25" s="2" t="s">
        <v>622</v>
      </c>
      <c r="G25" s="4" t="s">
        <v>623</v>
      </c>
      <c r="H25" s="2" t="s">
        <v>19</v>
      </c>
      <c r="I25" s="2" t="s">
        <v>91</v>
      </c>
      <c r="J25" t="s">
        <v>6192</v>
      </c>
      <c r="K25" t="s">
        <v>6209</v>
      </c>
      <c r="L25">
        <v>2.5</v>
      </c>
      <c r="M25">
        <v>20.584999999999997</v>
      </c>
      <c r="N25" s="5">
        <v>82.339999999999989</v>
      </c>
      <c r="O25">
        <v>4.9403999999999995</v>
      </c>
    </row>
    <row r="26" spans="1:15" x14ac:dyDescent="0.25">
      <c r="A26" s="2" t="s">
        <v>626</v>
      </c>
      <c r="B26" s="3">
        <v>44454</v>
      </c>
      <c r="C26" s="2" t="s">
        <v>627</v>
      </c>
      <c r="D26" t="s">
        <v>6155</v>
      </c>
      <c r="E26" s="2">
        <v>1</v>
      </c>
      <c r="F26" s="2" t="s">
        <v>628</v>
      </c>
      <c r="G26" s="4" t="s">
        <v>629</v>
      </c>
      <c r="H26" s="2" t="s">
        <v>19</v>
      </c>
      <c r="I26" s="2" t="s">
        <v>157</v>
      </c>
      <c r="J26" t="s">
        <v>6195</v>
      </c>
      <c r="K26" t="s">
        <v>6210</v>
      </c>
      <c r="L26">
        <v>0.2</v>
      </c>
      <c r="M26">
        <v>4.7549999999999999</v>
      </c>
      <c r="N26" s="5">
        <v>4.7549999999999999</v>
      </c>
      <c r="O26">
        <v>0.61814999999999998</v>
      </c>
    </row>
    <row r="27" spans="1:15" x14ac:dyDescent="0.25">
      <c r="A27" s="2" t="s">
        <v>632</v>
      </c>
      <c r="B27" s="3">
        <v>44128</v>
      </c>
      <c r="C27" s="2" t="s">
        <v>633</v>
      </c>
      <c r="D27" t="s">
        <v>6156</v>
      </c>
      <c r="E27" s="2">
        <v>3</v>
      </c>
      <c r="F27" s="2" t="s">
        <v>634</v>
      </c>
      <c r="G27" s="4">
        <v>0</v>
      </c>
      <c r="H27" s="2" t="s">
        <v>19</v>
      </c>
      <c r="I27" s="2" t="s">
        <v>211</v>
      </c>
      <c r="J27" t="s">
        <v>6195</v>
      </c>
      <c r="K27" t="s">
        <v>6210</v>
      </c>
      <c r="L27">
        <v>0.5</v>
      </c>
      <c r="M27">
        <v>9.51</v>
      </c>
      <c r="N27" s="5">
        <v>28.53</v>
      </c>
      <c r="O27">
        <v>3.7088999999999999</v>
      </c>
    </row>
    <row r="28" spans="1:15" x14ac:dyDescent="0.25">
      <c r="A28" s="2" t="s">
        <v>637</v>
      </c>
      <c r="B28" s="3">
        <v>43516</v>
      </c>
      <c r="C28" s="2" t="s">
        <v>638</v>
      </c>
      <c r="D28" t="s">
        <v>6157</v>
      </c>
      <c r="E28" s="2">
        <v>4</v>
      </c>
      <c r="F28" s="2" t="s">
        <v>639</v>
      </c>
      <c r="G28" s="4" t="s">
        <v>640</v>
      </c>
      <c r="H28" s="2" t="s">
        <v>19</v>
      </c>
      <c r="I28" s="2" t="s">
        <v>40</v>
      </c>
      <c r="J28" t="s">
        <v>6195</v>
      </c>
      <c r="K28" t="s">
        <v>6210</v>
      </c>
      <c r="L28">
        <v>1</v>
      </c>
      <c r="M28">
        <v>15.85</v>
      </c>
      <c r="N28" s="5">
        <v>63.4</v>
      </c>
      <c r="O28">
        <v>8.2420000000000009</v>
      </c>
    </row>
    <row r="29" spans="1:15" x14ac:dyDescent="0.25">
      <c r="A29" s="2" t="s">
        <v>643</v>
      </c>
      <c r="B29" s="3">
        <v>43746</v>
      </c>
      <c r="C29" s="2" t="s">
        <v>644</v>
      </c>
      <c r="D29" t="s">
        <v>6152</v>
      </c>
      <c r="E29" s="2">
        <v>5</v>
      </c>
      <c r="F29" s="2" t="s">
        <v>645</v>
      </c>
      <c r="G29" s="4" t="s">
        <v>646</v>
      </c>
      <c r="H29" s="2" t="s">
        <v>318</v>
      </c>
      <c r="I29" s="2" t="s">
        <v>433</v>
      </c>
      <c r="J29" t="s">
        <v>6195</v>
      </c>
      <c r="K29" t="s">
        <v>6210</v>
      </c>
      <c r="L29">
        <v>2.5</v>
      </c>
      <c r="M29">
        <v>36.454999999999998</v>
      </c>
      <c r="N29" s="5">
        <v>182.27499999999998</v>
      </c>
      <c r="O29">
        <v>23.695749999999997</v>
      </c>
    </row>
    <row r="30" spans="1:15" x14ac:dyDescent="0.25">
      <c r="A30" s="2" t="s">
        <v>649</v>
      </c>
      <c r="B30" s="3">
        <v>44775</v>
      </c>
      <c r="C30" s="2" t="s">
        <v>650</v>
      </c>
      <c r="D30" t="s">
        <v>6158</v>
      </c>
      <c r="E30" s="2">
        <v>3</v>
      </c>
      <c r="F30" s="2" t="s">
        <v>651</v>
      </c>
      <c r="G30" s="4" t="s">
        <v>652</v>
      </c>
      <c r="H30" s="2" t="s">
        <v>318</v>
      </c>
      <c r="I30" s="2" t="s">
        <v>347</v>
      </c>
      <c r="J30" t="s">
        <v>6195</v>
      </c>
      <c r="K30" t="s">
        <v>6211</v>
      </c>
      <c r="L30">
        <v>0.2</v>
      </c>
      <c r="M30">
        <v>4.3650000000000002</v>
      </c>
      <c r="N30" s="5">
        <v>13.095000000000001</v>
      </c>
      <c r="O30">
        <v>1.70235</v>
      </c>
    </row>
    <row r="31" spans="1:15" x14ac:dyDescent="0.25">
      <c r="A31" s="2" t="s">
        <v>655</v>
      </c>
      <c r="B31" s="3">
        <v>43516</v>
      </c>
      <c r="C31" s="2" t="s">
        <v>656</v>
      </c>
      <c r="D31" t="s">
        <v>6147</v>
      </c>
      <c r="E31" s="2">
        <v>4</v>
      </c>
      <c r="F31" s="2" t="s">
        <v>657</v>
      </c>
      <c r="G31" s="4" t="s">
        <v>658</v>
      </c>
      <c r="H31" s="2" t="s">
        <v>318</v>
      </c>
      <c r="I31" s="2" t="s">
        <v>423</v>
      </c>
      <c r="J31" t="s">
        <v>6195</v>
      </c>
      <c r="K31" t="s">
        <v>6211</v>
      </c>
      <c r="L31">
        <v>0.5</v>
      </c>
      <c r="M31">
        <v>8.73</v>
      </c>
      <c r="N31" s="5">
        <v>34.92</v>
      </c>
      <c r="O31">
        <v>4.5396000000000001</v>
      </c>
    </row>
    <row r="32" spans="1:15" x14ac:dyDescent="0.25">
      <c r="A32" s="2" t="s">
        <v>661</v>
      </c>
      <c r="B32" s="3">
        <v>44464</v>
      </c>
      <c r="C32" s="2" t="s">
        <v>662</v>
      </c>
      <c r="D32" t="s">
        <v>6159</v>
      </c>
      <c r="E32" s="2">
        <v>5</v>
      </c>
      <c r="F32" s="2" t="s">
        <v>663</v>
      </c>
      <c r="G32" s="4">
        <v>0</v>
      </c>
      <c r="H32" s="2" t="s">
        <v>19</v>
      </c>
      <c r="I32" s="2" t="s">
        <v>133</v>
      </c>
      <c r="J32" t="s">
        <v>6195</v>
      </c>
      <c r="K32" t="s">
        <v>6211</v>
      </c>
      <c r="L32">
        <v>1</v>
      </c>
      <c r="M32">
        <v>14.55</v>
      </c>
      <c r="N32" s="5">
        <v>72.75</v>
      </c>
      <c r="O32">
        <v>9.4575000000000014</v>
      </c>
    </row>
    <row r="33" spans="1:15" x14ac:dyDescent="0.25">
      <c r="A33" s="2" t="s">
        <v>661</v>
      </c>
      <c r="B33" s="3">
        <v>44464</v>
      </c>
      <c r="C33" s="2" t="s">
        <v>662</v>
      </c>
      <c r="D33" t="s">
        <v>6158</v>
      </c>
      <c r="E33" s="2">
        <v>6</v>
      </c>
      <c r="F33" s="2" t="s">
        <v>667</v>
      </c>
      <c r="G33" s="4" t="s">
        <v>668</v>
      </c>
      <c r="H33" s="2" t="s">
        <v>19</v>
      </c>
      <c r="I33" s="2" t="s">
        <v>132</v>
      </c>
      <c r="J33" t="s">
        <v>6195</v>
      </c>
      <c r="K33" t="s">
        <v>6211</v>
      </c>
      <c r="L33">
        <v>2.5</v>
      </c>
      <c r="M33">
        <v>33.464999999999996</v>
      </c>
      <c r="N33" s="5">
        <v>200.78999999999996</v>
      </c>
      <c r="O33">
        <v>26.102699999999999</v>
      </c>
    </row>
    <row r="34" spans="1:15" x14ac:dyDescent="0.25">
      <c r="A34" s="2" t="s">
        <v>661</v>
      </c>
      <c r="B34" s="3">
        <v>44464</v>
      </c>
      <c r="C34" s="2" t="s">
        <v>662</v>
      </c>
      <c r="D34" t="s">
        <v>6160</v>
      </c>
      <c r="E34" s="2">
        <v>6</v>
      </c>
      <c r="F34" s="2" t="s">
        <v>672</v>
      </c>
      <c r="G34" s="4" t="s">
        <v>673</v>
      </c>
      <c r="H34" s="2" t="s">
        <v>318</v>
      </c>
      <c r="I34" s="2" t="s">
        <v>349</v>
      </c>
      <c r="J34" t="s">
        <v>6195</v>
      </c>
      <c r="K34" t="s">
        <v>6209</v>
      </c>
      <c r="L34">
        <v>0.2</v>
      </c>
      <c r="M34">
        <v>3.8849999999999998</v>
      </c>
      <c r="N34" s="5">
        <v>23.31</v>
      </c>
      <c r="O34">
        <v>3.0303</v>
      </c>
    </row>
    <row r="35" spans="1:15" x14ac:dyDescent="0.25">
      <c r="A35" s="2" t="s">
        <v>676</v>
      </c>
      <c r="B35" s="3">
        <v>44394</v>
      </c>
      <c r="C35" s="2" t="s">
        <v>677</v>
      </c>
      <c r="D35" t="s">
        <v>6145</v>
      </c>
      <c r="E35" s="2">
        <v>5</v>
      </c>
      <c r="F35" s="2" t="s">
        <v>678</v>
      </c>
      <c r="G35" s="4" t="s">
        <v>679</v>
      </c>
      <c r="H35" s="2" t="s">
        <v>19</v>
      </c>
      <c r="I35" s="2" t="s">
        <v>141</v>
      </c>
      <c r="J35" t="s">
        <v>6195</v>
      </c>
      <c r="K35" t="s">
        <v>6209</v>
      </c>
      <c r="L35">
        <v>0.5</v>
      </c>
      <c r="M35">
        <v>7.77</v>
      </c>
      <c r="N35" s="5">
        <v>38.849999999999994</v>
      </c>
      <c r="O35">
        <v>5.0504999999999995</v>
      </c>
    </row>
    <row r="36" spans="1:15" x14ac:dyDescent="0.25">
      <c r="A36" s="2" t="s">
        <v>681</v>
      </c>
      <c r="B36" s="3">
        <v>44011</v>
      </c>
      <c r="C36" s="2" t="s">
        <v>682</v>
      </c>
      <c r="D36" t="s">
        <v>6161</v>
      </c>
      <c r="E36" s="2">
        <v>6</v>
      </c>
      <c r="F36" s="2" t="s">
        <v>683</v>
      </c>
      <c r="G36" s="4" t="s">
        <v>684</v>
      </c>
      <c r="H36" s="2" t="s">
        <v>28</v>
      </c>
      <c r="I36" s="2" t="s">
        <v>81</v>
      </c>
      <c r="J36" t="s">
        <v>6195</v>
      </c>
      <c r="K36" t="s">
        <v>6209</v>
      </c>
      <c r="L36">
        <v>1</v>
      </c>
      <c r="M36">
        <v>12.95</v>
      </c>
      <c r="N36" s="5">
        <v>77.699999999999989</v>
      </c>
      <c r="O36">
        <v>10.100999999999999</v>
      </c>
    </row>
    <row r="37" spans="1:15" x14ac:dyDescent="0.25">
      <c r="A37" s="2" t="s">
        <v>687</v>
      </c>
      <c r="B37" s="3">
        <v>44348</v>
      </c>
      <c r="C37" s="2" t="s">
        <v>688</v>
      </c>
      <c r="D37" t="s">
        <v>6158</v>
      </c>
      <c r="E37" s="2">
        <v>6</v>
      </c>
      <c r="F37" s="2" t="s">
        <v>689</v>
      </c>
      <c r="G37" s="4" t="s">
        <v>690</v>
      </c>
      <c r="H37" s="2" t="s">
        <v>19</v>
      </c>
      <c r="I37" s="2" t="s">
        <v>48</v>
      </c>
      <c r="J37" t="s">
        <v>6195</v>
      </c>
      <c r="K37" t="s">
        <v>6209</v>
      </c>
      <c r="L37">
        <v>2.5</v>
      </c>
      <c r="M37">
        <v>29.784999999999997</v>
      </c>
      <c r="N37" s="5">
        <v>178.70999999999998</v>
      </c>
      <c r="O37">
        <v>23.232299999999999</v>
      </c>
    </row>
    <row r="38" spans="1:15" x14ac:dyDescent="0.25">
      <c r="A38" s="2" t="s">
        <v>693</v>
      </c>
      <c r="B38" s="3">
        <v>44233</v>
      </c>
      <c r="C38" s="2" t="s">
        <v>694</v>
      </c>
      <c r="D38" t="s">
        <v>6159</v>
      </c>
      <c r="E38" s="2">
        <v>2</v>
      </c>
      <c r="F38" s="2" t="s">
        <v>695</v>
      </c>
      <c r="G38" s="4" t="s">
        <v>696</v>
      </c>
      <c r="H38" s="2" t="s">
        <v>19</v>
      </c>
      <c r="I38" s="2" t="s">
        <v>88</v>
      </c>
      <c r="J38" t="s">
        <v>6194</v>
      </c>
      <c r="K38" t="s">
        <v>6210</v>
      </c>
      <c r="L38">
        <v>0.2</v>
      </c>
      <c r="M38">
        <v>4.4550000000000001</v>
      </c>
      <c r="N38" s="5">
        <v>8.91</v>
      </c>
      <c r="O38">
        <v>0.98009999999999997</v>
      </c>
    </row>
    <row r="39" spans="1:15" x14ac:dyDescent="0.25">
      <c r="A39" s="2" t="s">
        <v>699</v>
      </c>
      <c r="B39" s="3">
        <v>43580</v>
      </c>
      <c r="C39" s="2" t="s">
        <v>700</v>
      </c>
      <c r="D39" t="s">
        <v>6161</v>
      </c>
      <c r="E39" s="2">
        <v>3</v>
      </c>
      <c r="F39" s="2" t="s">
        <v>701</v>
      </c>
      <c r="G39" s="4" t="s">
        <v>702</v>
      </c>
      <c r="H39" s="2" t="s">
        <v>19</v>
      </c>
      <c r="I39" s="2" t="s">
        <v>42</v>
      </c>
      <c r="J39" t="s">
        <v>6194</v>
      </c>
      <c r="K39" t="s">
        <v>6210</v>
      </c>
      <c r="L39">
        <v>0.5</v>
      </c>
      <c r="M39">
        <v>8.91</v>
      </c>
      <c r="N39" s="5">
        <v>26.73</v>
      </c>
      <c r="O39">
        <v>2.9402999999999997</v>
      </c>
    </row>
    <row r="40" spans="1:15" x14ac:dyDescent="0.25">
      <c r="A40" s="2" t="s">
        <v>705</v>
      </c>
      <c r="B40" s="3">
        <v>43946</v>
      </c>
      <c r="C40" s="2" t="s">
        <v>706</v>
      </c>
      <c r="D40" t="s">
        <v>6151</v>
      </c>
      <c r="E40" s="2">
        <v>5</v>
      </c>
      <c r="F40" s="2" t="s">
        <v>707</v>
      </c>
      <c r="G40" s="4" t="s">
        <v>708</v>
      </c>
      <c r="H40" s="2" t="s">
        <v>19</v>
      </c>
      <c r="I40" s="2" t="s">
        <v>33</v>
      </c>
      <c r="J40" t="s">
        <v>6194</v>
      </c>
      <c r="K40" t="s">
        <v>6210</v>
      </c>
      <c r="L40">
        <v>1</v>
      </c>
      <c r="M40">
        <v>14.85</v>
      </c>
      <c r="N40" s="5">
        <v>74.25</v>
      </c>
      <c r="O40">
        <v>8.1675000000000004</v>
      </c>
    </row>
    <row r="41" spans="1:15" x14ac:dyDescent="0.25">
      <c r="A41" s="2" t="s">
        <v>711</v>
      </c>
      <c r="B41" s="3">
        <v>44524</v>
      </c>
      <c r="C41" s="2" t="s">
        <v>712</v>
      </c>
      <c r="D41" t="s">
        <v>6138</v>
      </c>
      <c r="E41" s="2">
        <v>6</v>
      </c>
      <c r="F41" s="2" t="s">
        <v>713</v>
      </c>
      <c r="G41" s="4">
        <v>0</v>
      </c>
      <c r="H41" s="2" t="s">
        <v>19</v>
      </c>
      <c r="I41" s="2" t="s">
        <v>126</v>
      </c>
      <c r="J41" t="s">
        <v>6194</v>
      </c>
      <c r="K41" t="s">
        <v>6210</v>
      </c>
      <c r="L41">
        <v>2.5</v>
      </c>
      <c r="M41">
        <v>34.154999999999994</v>
      </c>
      <c r="N41" s="5">
        <v>204.92999999999995</v>
      </c>
      <c r="O41">
        <v>22.542299999999997</v>
      </c>
    </row>
    <row r="42" spans="1:15" x14ac:dyDescent="0.25">
      <c r="A42" s="2" t="s">
        <v>715</v>
      </c>
      <c r="B42" s="3">
        <v>44305</v>
      </c>
      <c r="C42" s="2" t="s">
        <v>716</v>
      </c>
      <c r="D42" t="s">
        <v>6162</v>
      </c>
      <c r="E42" s="2">
        <v>3</v>
      </c>
      <c r="F42" s="2" t="s">
        <v>717</v>
      </c>
      <c r="G42" s="4">
        <v>0</v>
      </c>
      <c r="H42" s="2" t="s">
        <v>19</v>
      </c>
      <c r="I42" s="2" t="s">
        <v>69</v>
      </c>
      <c r="J42" t="s">
        <v>6194</v>
      </c>
      <c r="K42" t="s">
        <v>6211</v>
      </c>
      <c r="L42">
        <v>0.2</v>
      </c>
      <c r="M42">
        <v>4.125</v>
      </c>
      <c r="N42" s="5">
        <v>12.375</v>
      </c>
      <c r="O42">
        <v>1.3612500000000001</v>
      </c>
    </row>
    <row r="43" spans="1:15" x14ac:dyDescent="0.25">
      <c r="A43" s="2" t="s">
        <v>720</v>
      </c>
      <c r="B43" s="3">
        <v>44749</v>
      </c>
      <c r="C43" s="2" t="s">
        <v>721</v>
      </c>
      <c r="D43" t="s">
        <v>6153</v>
      </c>
      <c r="E43" s="2">
        <v>2</v>
      </c>
      <c r="F43" s="2" t="s">
        <v>722</v>
      </c>
      <c r="G43" s="4" t="s">
        <v>723</v>
      </c>
      <c r="H43" s="2" t="s">
        <v>19</v>
      </c>
      <c r="I43" s="2" t="s">
        <v>71</v>
      </c>
      <c r="J43" t="s">
        <v>6194</v>
      </c>
      <c r="K43" t="s">
        <v>6211</v>
      </c>
      <c r="L43">
        <v>0.5</v>
      </c>
      <c r="M43">
        <v>8.25</v>
      </c>
      <c r="N43" s="5">
        <v>16.5</v>
      </c>
      <c r="O43">
        <v>1.8149999999999999</v>
      </c>
    </row>
    <row r="44" spans="1:15" x14ac:dyDescent="0.25">
      <c r="A44" s="2" t="s">
        <v>726</v>
      </c>
      <c r="B44" s="3">
        <v>43607</v>
      </c>
      <c r="C44" s="2" t="s">
        <v>727</v>
      </c>
      <c r="D44" t="s">
        <v>6163</v>
      </c>
      <c r="E44" s="2">
        <v>3</v>
      </c>
      <c r="F44" s="2" t="s">
        <v>728</v>
      </c>
      <c r="G44" s="4" t="s">
        <v>729</v>
      </c>
      <c r="H44" s="2" t="s">
        <v>19</v>
      </c>
      <c r="I44" s="2" t="s">
        <v>732</v>
      </c>
      <c r="J44" t="s">
        <v>6194</v>
      </c>
      <c r="K44" t="s">
        <v>6211</v>
      </c>
      <c r="L44">
        <v>1</v>
      </c>
      <c r="M44">
        <v>13.75</v>
      </c>
      <c r="N44" s="5">
        <v>41.25</v>
      </c>
      <c r="O44">
        <v>4.5374999999999996</v>
      </c>
    </row>
    <row r="45" spans="1:15" x14ac:dyDescent="0.25">
      <c r="A45" s="2" t="s">
        <v>733</v>
      </c>
      <c r="B45" s="3">
        <v>44473</v>
      </c>
      <c r="C45" s="2" t="s">
        <v>734</v>
      </c>
      <c r="D45" t="s">
        <v>6164</v>
      </c>
      <c r="E45" s="2">
        <v>2</v>
      </c>
      <c r="F45" s="2" t="s">
        <v>735</v>
      </c>
      <c r="G45" s="4">
        <v>0</v>
      </c>
      <c r="H45" s="2" t="s">
        <v>19</v>
      </c>
      <c r="I45" s="2" t="s">
        <v>241</v>
      </c>
      <c r="J45" t="s">
        <v>6194</v>
      </c>
      <c r="K45" t="s">
        <v>6211</v>
      </c>
      <c r="L45">
        <v>2.5</v>
      </c>
      <c r="M45">
        <v>31.624999999999996</v>
      </c>
      <c r="N45" s="5">
        <v>63.249999999999993</v>
      </c>
      <c r="O45">
        <v>6.9574999999999996</v>
      </c>
    </row>
    <row r="46" spans="1:15" x14ac:dyDescent="0.25">
      <c r="A46" s="2" t="s">
        <v>738</v>
      </c>
      <c r="B46" s="3">
        <v>43932</v>
      </c>
      <c r="C46" s="2" t="s">
        <v>739</v>
      </c>
      <c r="D46" t="s">
        <v>6139</v>
      </c>
      <c r="E46" s="2">
        <v>2</v>
      </c>
      <c r="F46" s="2" t="s">
        <v>740</v>
      </c>
      <c r="G46" s="4" t="s">
        <v>741</v>
      </c>
      <c r="H46" s="2" t="s">
        <v>19</v>
      </c>
      <c r="I46" s="2" t="s">
        <v>219</v>
      </c>
      <c r="J46" t="s">
        <v>6194</v>
      </c>
      <c r="K46" t="s">
        <v>6209</v>
      </c>
      <c r="L46">
        <v>0.2</v>
      </c>
      <c r="M46">
        <v>3.645</v>
      </c>
      <c r="N46" s="5">
        <v>7.29</v>
      </c>
      <c r="O46">
        <v>0.80190000000000006</v>
      </c>
    </row>
    <row r="47" spans="1:15" x14ac:dyDescent="0.25">
      <c r="A47" s="2" t="s">
        <v>744</v>
      </c>
      <c r="B47" s="3">
        <v>44592</v>
      </c>
      <c r="C47" s="2" t="s">
        <v>745</v>
      </c>
      <c r="D47" t="s">
        <v>6165</v>
      </c>
      <c r="E47" s="2">
        <v>6</v>
      </c>
      <c r="F47" s="2" t="s">
        <v>746</v>
      </c>
      <c r="G47" s="4" t="s">
        <v>747</v>
      </c>
      <c r="H47" s="2" t="s">
        <v>19</v>
      </c>
      <c r="I47" s="2" t="s">
        <v>94</v>
      </c>
      <c r="J47" t="s">
        <v>6194</v>
      </c>
      <c r="K47" t="s">
        <v>6209</v>
      </c>
      <c r="L47">
        <v>0.5</v>
      </c>
      <c r="M47">
        <v>7.29</v>
      </c>
      <c r="N47" s="5">
        <v>43.74</v>
      </c>
      <c r="O47">
        <v>4.8114000000000008</v>
      </c>
    </row>
    <row r="48" spans="1:15" x14ac:dyDescent="0.25">
      <c r="A48" s="2" t="s">
        <v>750</v>
      </c>
      <c r="B48" s="3">
        <v>43776</v>
      </c>
      <c r="C48" s="2" t="s">
        <v>751</v>
      </c>
      <c r="D48" t="s">
        <v>6166</v>
      </c>
      <c r="E48" s="2">
        <v>2</v>
      </c>
      <c r="F48" s="2" t="s">
        <v>752</v>
      </c>
      <c r="G48" s="4">
        <v>0</v>
      </c>
      <c r="H48" s="2" t="s">
        <v>19</v>
      </c>
      <c r="I48" s="2" t="s">
        <v>144</v>
      </c>
      <c r="J48" t="s">
        <v>6194</v>
      </c>
      <c r="K48" t="s">
        <v>6209</v>
      </c>
      <c r="L48">
        <v>1</v>
      </c>
      <c r="M48">
        <v>12.15</v>
      </c>
      <c r="N48" s="5">
        <v>24.3</v>
      </c>
      <c r="O48">
        <v>2.673</v>
      </c>
    </row>
    <row r="49" spans="1:15" x14ac:dyDescent="0.25">
      <c r="A49" s="2" t="s">
        <v>755</v>
      </c>
      <c r="B49" s="3">
        <v>43644</v>
      </c>
      <c r="C49" s="2" t="s">
        <v>756</v>
      </c>
      <c r="D49" t="s">
        <v>6167</v>
      </c>
      <c r="E49" s="2">
        <v>2</v>
      </c>
      <c r="F49" s="2" t="s">
        <v>757</v>
      </c>
      <c r="G49" s="4" t="s">
        <v>758</v>
      </c>
      <c r="H49" s="2" t="s">
        <v>19</v>
      </c>
      <c r="I49" s="2" t="s">
        <v>272</v>
      </c>
      <c r="J49" t="s">
        <v>6194</v>
      </c>
      <c r="K49" t="s">
        <v>6209</v>
      </c>
      <c r="L49">
        <v>2.5</v>
      </c>
      <c r="M49">
        <v>27.945</v>
      </c>
      <c r="N49" s="5">
        <v>55.89</v>
      </c>
      <c r="O49">
        <v>6.1478999999999999</v>
      </c>
    </row>
    <row r="50" spans="1:15" hidden="1" x14ac:dyDescent="0.25">
      <c r="A50" s="2" t="s">
        <v>761</v>
      </c>
      <c r="B50" s="3">
        <v>44085</v>
      </c>
      <c r="C50" s="2" t="s">
        <v>762</v>
      </c>
      <c r="D50" t="s">
        <v>6168</v>
      </c>
      <c r="E50" s="2">
        <v>4</v>
      </c>
      <c r="F50" s="2" t="s">
        <v>763</v>
      </c>
      <c r="G50" s="4" t="s">
        <v>764</v>
      </c>
      <c r="H50" s="2" t="s">
        <v>19</v>
      </c>
      <c r="I50" s="2" t="s">
        <v>128</v>
      </c>
      <c r="J50">
        <v>0</v>
      </c>
      <c r="K50">
        <v>0</v>
      </c>
      <c r="L50">
        <v>0</v>
      </c>
      <c r="M50">
        <v>0</v>
      </c>
      <c r="N50" s="5">
        <v>0</v>
      </c>
      <c r="O50">
        <v>0</v>
      </c>
    </row>
    <row r="51" spans="1:15" hidden="1" x14ac:dyDescent="0.25">
      <c r="A51" s="2" t="s">
        <v>766</v>
      </c>
      <c r="B51" s="3">
        <v>44790</v>
      </c>
      <c r="C51" s="2" t="s">
        <v>767</v>
      </c>
      <c r="D51" t="s">
        <v>6140</v>
      </c>
      <c r="E51" s="2">
        <v>3</v>
      </c>
      <c r="F51" s="2" t="s">
        <v>768</v>
      </c>
      <c r="G51" s="4" t="s">
        <v>769</v>
      </c>
      <c r="H51" s="2" t="s">
        <v>19</v>
      </c>
      <c r="I51" s="2" t="s">
        <v>47</v>
      </c>
      <c r="J51">
        <v>0</v>
      </c>
      <c r="K51">
        <v>0</v>
      </c>
      <c r="L51">
        <v>0</v>
      </c>
      <c r="M51">
        <v>0</v>
      </c>
      <c r="N51" s="5">
        <v>0</v>
      </c>
      <c r="O51">
        <v>0</v>
      </c>
    </row>
    <row r="52" spans="1:15" hidden="1" x14ac:dyDescent="0.25">
      <c r="A52" s="2" t="s">
        <v>772</v>
      </c>
      <c r="B52" s="3">
        <v>44792</v>
      </c>
      <c r="C52" s="2" t="s">
        <v>773</v>
      </c>
      <c r="D52" t="s">
        <v>6169</v>
      </c>
      <c r="E52" s="2">
        <v>2</v>
      </c>
      <c r="F52" s="2" t="s">
        <v>774</v>
      </c>
      <c r="G52" s="4" t="s">
        <v>775</v>
      </c>
      <c r="H52" s="2" t="s">
        <v>19</v>
      </c>
      <c r="I52" s="2" t="s">
        <v>271</v>
      </c>
      <c r="J52">
        <v>0</v>
      </c>
      <c r="K52">
        <v>0</v>
      </c>
      <c r="L52">
        <v>0</v>
      </c>
      <c r="M52">
        <v>0</v>
      </c>
      <c r="N52" s="5">
        <v>0</v>
      </c>
      <c r="O52">
        <v>0</v>
      </c>
    </row>
    <row r="53" spans="1:15" hidden="1" x14ac:dyDescent="0.25">
      <c r="A53" s="2" t="s">
        <v>778</v>
      </c>
      <c r="B53" s="3">
        <v>43600</v>
      </c>
      <c r="C53" s="2" t="s">
        <v>779</v>
      </c>
      <c r="D53" t="s">
        <v>6164</v>
      </c>
      <c r="E53" s="2">
        <v>4</v>
      </c>
      <c r="F53" s="2" t="s">
        <v>780</v>
      </c>
      <c r="G53" s="4" t="s">
        <v>781</v>
      </c>
      <c r="H53" s="2" t="s">
        <v>318</v>
      </c>
      <c r="I53" s="2" t="s">
        <v>329</v>
      </c>
      <c r="J53">
        <v>0</v>
      </c>
      <c r="K53">
        <v>0</v>
      </c>
      <c r="L53">
        <v>0</v>
      </c>
      <c r="M53">
        <v>0</v>
      </c>
      <c r="N53" s="5">
        <v>0</v>
      </c>
      <c r="O53">
        <v>0</v>
      </c>
    </row>
    <row r="54" spans="1:15" hidden="1" x14ac:dyDescent="0.25">
      <c r="A54" s="2" t="s">
        <v>784</v>
      </c>
      <c r="B54" s="3">
        <v>43719</v>
      </c>
      <c r="C54" s="2" t="s">
        <v>785</v>
      </c>
      <c r="D54" t="s">
        <v>6146</v>
      </c>
      <c r="E54" s="2">
        <v>5</v>
      </c>
      <c r="F54" s="2" t="s">
        <v>786</v>
      </c>
      <c r="G54" s="4" t="s">
        <v>787</v>
      </c>
      <c r="H54" s="2" t="s">
        <v>28</v>
      </c>
      <c r="I54" s="2" t="s">
        <v>248</v>
      </c>
      <c r="J54">
        <v>0</v>
      </c>
      <c r="K54">
        <v>0</v>
      </c>
      <c r="L54">
        <v>0</v>
      </c>
      <c r="M54">
        <v>0</v>
      </c>
      <c r="N54" s="5">
        <v>0</v>
      </c>
      <c r="O54">
        <v>0</v>
      </c>
    </row>
    <row r="55" spans="1:15" hidden="1" x14ac:dyDescent="0.25">
      <c r="A55" s="2" t="s">
        <v>784</v>
      </c>
      <c r="B55" s="3">
        <v>43719</v>
      </c>
      <c r="C55" s="2" t="s">
        <v>785</v>
      </c>
      <c r="D55" t="s">
        <v>6164</v>
      </c>
      <c r="E55" s="2">
        <v>2</v>
      </c>
      <c r="F55" s="2" t="s">
        <v>790</v>
      </c>
      <c r="G55" s="4" t="s">
        <v>791</v>
      </c>
      <c r="H55" s="2" t="s">
        <v>19</v>
      </c>
      <c r="I55" s="2" t="s">
        <v>138</v>
      </c>
      <c r="J55">
        <v>0</v>
      </c>
      <c r="K55">
        <v>0</v>
      </c>
      <c r="L55">
        <v>0</v>
      </c>
      <c r="M55">
        <v>0</v>
      </c>
      <c r="N55" s="5">
        <v>0</v>
      </c>
      <c r="O55">
        <v>0</v>
      </c>
    </row>
    <row r="56" spans="1:15" hidden="1" x14ac:dyDescent="0.25">
      <c r="A56" s="2" t="s">
        <v>794</v>
      </c>
      <c r="B56" s="3">
        <v>44271</v>
      </c>
      <c r="C56" s="2" t="s">
        <v>795</v>
      </c>
      <c r="D56" t="s">
        <v>6162</v>
      </c>
      <c r="E56" s="2">
        <v>5</v>
      </c>
      <c r="F56" s="2" t="s">
        <v>796</v>
      </c>
      <c r="G56" s="4" t="s">
        <v>797</v>
      </c>
      <c r="H56" s="2" t="s">
        <v>19</v>
      </c>
      <c r="I56" s="2" t="s">
        <v>260</v>
      </c>
      <c r="J56">
        <v>0</v>
      </c>
      <c r="K56">
        <v>0</v>
      </c>
      <c r="L56">
        <v>0</v>
      </c>
      <c r="M56">
        <v>0</v>
      </c>
      <c r="N56" s="5">
        <v>0</v>
      </c>
      <c r="O56">
        <v>0</v>
      </c>
    </row>
    <row r="57" spans="1:15" hidden="1" x14ac:dyDescent="0.25">
      <c r="A57" s="2" t="s">
        <v>800</v>
      </c>
      <c r="B57" s="3">
        <v>44168</v>
      </c>
      <c r="C57" s="2" t="s">
        <v>801</v>
      </c>
      <c r="D57" t="s">
        <v>6170</v>
      </c>
      <c r="E57" s="2">
        <v>3</v>
      </c>
      <c r="F57" s="2" t="s">
        <v>802</v>
      </c>
      <c r="G57" s="4">
        <v>0</v>
      </c>
      <c r="H57" s="2" t="s">
        <v>19</v>
      </c>
      <c r="I57" s="2" t="s">
        <v>135</v>
      </c>
      <c r="J57">
        <v>0</v>
      </c>
      <c r="K57">
        <v>0</v>
      </c>
      <c r="L57">
        <v>0</v>
      </c>
      <c r="M57">
        <v>0</v>
      </c>
      <c r="N57" s="5">
        <v>0</v>
      </c>
      <c r="O57">
        <v>0</v>
      </c>
    </row>
    <row r="58" spans="1:15" hidden="1" x14ac:dyDescent="0.25">
      <c r="A58" s="2" t="s">
        <v>805</v>
      </c>
      <c r="B58" s="3">
        <v>43857</v>
      </c>
      <c r="C58" s="2" t="s">
        <v>806</v>
      </c>
      <c r="D58" t="s">
        <v>6153</v>
      </c>
      <c r="E58" s="2">
        <v>3</v>
      </c>
      <c r="F58" s="2" t="s">
        <v>807</v>
      </c>
      <c r="G58" s="4" t="s">
        <v>808</v>
      </c>
      <c r="H58" s="2" t="s">
        <v>19</v>
      </c>
      <c r="I58" s="2" t="s">
        <v>137</v>
      </c>
      <c r="J58">
        <v>0</v>
      </c>
      <c r="K58">
        <v>0</v>
      </c>
      <c r="L58">
        <v>0</v>
      </c>
      <c r="M58">
        <v>0</v>
      </c>
      <c r="N58" s="5">
        <v>0</v>
      </c>
      <c r="O58">
        <v>0</v>
      </c>
    </row>
    <row r="59" spans="1:15" hidden="1" x14ac:dyDescent="0.25">
      <c r="A59" s="2" t="s">
        <v>811</v>
      </c>
      <c r="B59" s="3">
        <v>44759</v>
      </c>
      <c r="C59" s="2" t="s">
        <v>812</v>
      </c>
      <c r="D59" t="s">
        <v>6171</v>
      </c>
      <c r="E59" s="2">
        <v>4</v>
      </c>
      <c r="F59" s="2" t="s">
        <v>813</v>
      </c>
      <c r="G59" s="4" t="s">
        <v>814</v>
      </c>
      <c r="H59" s="2" t="s">
        <v>19</v>
      </c>
      <c r="I59" s="2" t="s">
        <v>250</v>
      </c>
      <c r="J59">
        <v>0</v>
      </c>
      <c r="K59">
        <v>0</v>
      </c>
      <c r="L59">
        <v>0</v>
      </c>
      <c r="M59">
        <v>0</v>
      </c>
      <c r="N59" s="5">
        <v>0</v>
      </c>
      <c r="O59">
        <v>0</v>
      </c>
    </row>
    <row r="60" spans="1:15" hidden="1" x14ac:dyDescent="0.25">
      <c r="A60" s="2" t="s">
        <v>817</v>
      </c>
      <c r="B60" s="3">
        <v>44624</v>
      </c>
      <c r="C60" s="2" t="s">
        <v>818</v>
      </c>
      <c r="D60" t="s">
        <v>6165</v>
      </c>
      <c r="E60" s="2">
        <v>3</v>
      </c>
      <c r="F60" s="2" t="s">
        <v>819</v>
      </c>
      <c r="G60" s="4">
        <v>0</v>
      </c>
      <c r="H60" s="2" t="s">
        <v>19</v>
      </c>
      <c r="I60" s="2" t="s">
        <v>234</v>
      </c>
      <c r="J60">
        <v>0</v>
      </c>
      <c r="K60">
        <v>0</v>
      </c>
      <c r="L60">
        <v>0</v>
      </c>
      <c r="M60">
        <v>0</v>
      </c>
      <c r="N60" s="5">
        <v>0</v>
      </c>
      <c r="O60">
        <v>0</v>
      </c>
    </row>
    <row r="61" spans="1:15" hidden="1" x14ac:dyDescent="0.25">
      <c r="A61" s="2" t="s">
        <v>822</v>
      </c>
      <c r="B61" s="3">
        <v>44537</v>
      </c>
      <c r="C61" s="2" t="s">
        <v>823</v>
      </c>
      <c r="D61" t="s">
        <v>6160</v>
      </c>
      <c r="E61" s="2">
        <v>3</v>
      </c>
      <c r="F61" s="2" t="s">
        <v>824</v>
      </c>
      <c r="G61" s="4" t="s">
        <v>825</v>
      </c>
      <c r="H61" s="2" t="s">
        <v>19</v>
      </c>
      <c r="I61" s="2" t="s">
        <v>173</v>
      </c>
      <c r="J61">
        <v>0</v>
      </c>
      <c r="K61">
        <v>0</v>
      </c>
      <c r="L61">
        <v>0</v>
      </c>
      <c r="M61">
        <v>0</v>
      </c>
      <c r="N61" s="5">
        <v>0</v>
      </c>
      <c r="O61">
        <v>0</v>
      </c>
    </row>
    <row r="62" spans="1:15" hidden="1" x14ac:dyDescent="0.25">
      <c r="A62" s="2" t="s">
        <v>827</v>
      </c>
      <c r="B62" s="3">
        <v>44252</v>
      </c>
      <c r="C62" s="2" t="s">
        <v>828</v>
      </c>
      <c r="D62" t="s">
        <v>6168</v>
      </c>
      <c r="E62" s="2">
        <v>5</v>
      </c>
      <c r="F62" s="2" t="s">
        <v>829</v>
      </c>
      <c r="G62" s="4" t="s">
        <v>830</v>
      </c>
      <c r="H62" s="2" t="s">
        <v>19</v>
      </c>
      <c r="I62" s="2" t="s">
        <v>66</v>
      </c>
      <c r="J62">
        <v>0</v>
      </c>
      <c r="K62">
        <v>0</v>
      </c>
      <c r="L62">
        <v>0</v>
      </c>
      <c r="M62">
        <v>0</v>
      </c>
      <c r="N62" s="5">
        <v>0</v>
      </c>
      <c r="O62">
        <v>0</v>
      </c>
    </row>
    <row r="63" spans="1:15" hidden="1" x14ac:dyDescent="0.25">
      <c r="A63" s="2" t="s">
        <v>833</v>
      </c>
      <c r="B63" s="3">
        <v>43521</v>
      </c>
      <c r="C63" s="2" t="s">
        <v>834</v>
      </c>
      <c r="D63" t="s">
        <v>6172</v>
      </c>
      <c r="E63" s="2">
        <v>5</v>
      </c>
      <c r="F63" s="2" t="s">
        <v>835</v>
      </c>
      <c r="G63" s="4">
        <v>0</v>
      </c>
      <c r="H63" s="2" t="s">
        <v>28</v>
      </c>
      <c r="I63" s="2" t="s">
        <v>151</v>
      </c>
      <c r="J63">
        <v>0</v>
      </c>
      <c r="K63">
        <v>0</v>
      </c>
      <c r="L63">
        <v>0</v>
      </c>
      <c r="M63">
        <v>0</v>
      </c>
      <c r="N63" s="5">
        <v>0</v>
      </c>
      <c r="O63">
        <v>0</v>
      </c>
    </row>
    <row r="64" spans="1:15" hidden="1" x14ac:dyDescent="0.25">
      <c r="A64" s="2" t="s">
        <v>838</v>
      </c>
      <c r="B64" s="3">
        <v>43505</v>
      </c>
      <c r="C64" s="2" t="s">
        <v>839</v>
      </c>
      <c r="D64" t="s">
        <v>6145</v>
      </c>
      <c r="E64" s="2">
        <v>5</v>
      </c>
      <c r="F64" s="2" t="s">
        <v>840</v>
      </c>
      <c r="G64" s="4">
        <v>0</v>
      </c>
      <c r="H64" s="2" t="s">
        <v>19</v>
      </c>
      <c r="I64" s="2" t="s">
        <v>267</v>
      </c>
      <c r="J64">
        <v>0</v>
      </c>
      <c r="K64">
        <v>0</v>
      </c>
      <c r="L64">
        <v>0</v>
      </c>
      <c r="M64">
        <v>0</v>
      </c>
      <c r="N64" s="5">
        <v>0</v>
      </c>
      <c r="O64">
        <v>0</v>
      </c>
    </row>
    <row r="65" spans="1:15" hidden="1" x14ac:dyDescent="0.25">
      <c r="A65" s="2" t="s">
        <v>843</v>
      </c>
      <c r="B65" s="3">
        <v>43868</v>
      </c>
      <c r="C65" s="2" t="s">
        <v>844</v>
      </c>
      <c r="D65" t="s">
        <v>6157</v>
      </c>
      <c r="E65" s="2">
        <v>1</v>
      </c>
      <c r="F65" s="2" t="s">
        <v>845</v>
      </c>
      <c r="G65" s="4" t="s">
        <v>846</v>
      </c>
      <c r="H65" s="2" t="s">
        <v>19</v>
      </c>
      <c r="I65" s="2" t="s">
        <v>56</v>
      </c>
      <c r="J65">
        <v>0</v>
      </c>
      <c r="K65">
        <v>0</v>
      </c>
      <c r="L65">
        <v>0</v>
      </c>
      <c r="M65">
        <v>0</v>
      </c>
      <c r="N65" s="5">
        <v>0</v>
      </c>
      <c r="O65">
        <v>0</v>
      </c>
    </row>
    <row r="66" spans="1:15" hidden="1" x14ac:dyDescent="0.25">
      <c r="A66" s="2" t="s">
        <v>849</v>
      </c>
      <c r="B66" s="3">
        <v>43913</v>
      </c>
      <c r="C66" s="2" t="s">
        <v>850</v>
      </c>
      <c r="D66" t="s">
        <v>6146</v>
      </c>
      <c r="E66" s="2">
        <v>6</v>
      </c>
      <c r="F66" s="2" t="s">
        <v>851</v>
      </c>
      <c r="G66" s="4">
        <v>0</v>
      </c>
      <c r="H66" s="2" t="s">
        <v>19</v>
      </c>
      <c r="I66" s="2" t="s">
        <v>199</v>
      </c>
      <c r="J66">
        <v>0</v>
      </c>
      <c r="K66">
        <v>0</v>
      </c>
      <c r="L66">
        <v>0</v>
      </c>
      <c r="M66">
        <v>0</v>
      </c>
      <c r="N66" s="5">
        <v>0</v>
      </c>
      <c r="O66">
        <v>0</v>
      </c>
    </row>
    <row r="67" spans="1:15" hidden="1" x14ac:dyDescent="0.25">
      <c r="A67" s="2" t="s">
        <v>854</v>
      </c>
      <c r="B67" s="3">
        <v>44626</v>
      </c>
      <c r="C67" s="2" t="s">
        <v>855</v>
      </c>
      <c r="D67" t="s">
        <v>6149</v>
      </c>
      <c r="E67" s="2">
        <v>4</v>
      </c>
      <c r="F67" s="2" t="s">
        <v>856</v>
      </c>
      <c r="G67" s="4" t="s">
        <v>857</v>
      </c>
      <c r="H67" s="2" t="s">
        <v>19</v>
      </c>
      <c r="I67" s="2" t="s">
        <v>364</v>
      </c>
      <c r="J67">
        <v>0</v>
      </c>
      <c r="K67">
        <v>0</v>
      </c>
      <c r="L67">
        <v>0</v>
      </c>
      <c r="M67">
        <v>0</v>
      </c>
      <c r="N67" s="5">
        <v>0</v>
      </c>
      <c r="O67">
        <v>0</v>
      </c>
    </row>
    <row r="68" spans="1:15" hidden="1" x14ac:dyDescent="0.25">
      <c r="A68" s="2" t="s">
        <v>860</v>
      </c>
      <c r="B68" s="3">
        <v>44666</v>
      </c>
      <c r="C68" s="2" t="s">
        <v>861</v>
      </c>
      <c r="D68" t="s">
        <v>6173</v>
      </c>
      <c r="E68" s="2">
        <v>1</v>
      </c>
      <c r="F68" s="2" t="s">
        <v>862</v>
      </c>
      <c r="G68" s="4" t="s">
        <v>863</v>
      </c>
      <c r="H68" s="2" t="s">
        <v>19</v>
      </c>
      <c r="I68" s="2" t="s">
        <v>106</v>
      </c>
      <c r="J68">
        <v>0</v>
      </c>
      <c r="K68">
        <v>0</v>
      </c>
      <c r="L68">
        <v>0</v>
      </c>
      <c r="M68">
        <v>0</v>
      </c>
      <c r="N68" s="5">
        <v>0</v>
      </c>
      <c r="O68">
        <v>0</v>
      </c>
    </row>
    <row r="69" spans="1:15" hidden="1" x14ac:dyDescent="0.25">
      <c r="A69" s="2" t="s">
        <v>866</v>
      </c>
      <c r="B69" s="3">
        <v>44519</v>
      </c>
      <c r="C69" s="2" t="s">
        <v>867</v>
      </c>
      <c r="D69" t="s">
        <v>6145</v>
      </c>
      <c r="E69" s="2">
        <v>2</v>
      </c>
      <c r="F69" s="2" t="s">
        <v>868</v>
      </c>
      <c r="G69" s="4" t="s">
        <v>869</v>
      </c>
      <c r="H69" s="2" t="s">
        <v>19</v>
      </c>
      <c r="I69" s="2" t="s">
        <v>118</v>
      </c>
      <c r="J69">
        <v>0</v>
      </c>
      <c r="K69">
        <v>0</v>
      </c>
      <c r="L69">
        <v>0</v>
      </c>
      <c r="M69">
        <v>0</v>
      </c>
      <c r="N69" s="5">
        <v>0</v>
      </c>
      <c r="O69">
        <v>0</v>
      </c>
    </row>
    <row r="70" spans="1:15" hidden="1" x14ac:dyDescent="0.25">
      <c r="A70" s="2" t="s">
        <v>872</v>
      </c>
      <c r="B70" s="3">
        <v>43754</v>
      </c>
      <c r="C70" s="2" t="s">
        <v>873</v>
      </c>
      <c r="D70" t="s">
        <v>6174</v>
      </c>
      <c r="E70" s="2">
        <v>1</v>
      </c>
      <c r="F70" s="2" t="s">
        <v>874</v>
      </c>
      <c r="G70" s="4" t="s">
        <v>875</v>
      </c>
      <c r="H70" s="2" t="s">
        <v>19</v>
      </c>
      <c r="I70" s="2" t="s">
        <v>268</v>
      </c>
      <c r="J70">
        <v>0</v>
      </c>
      <c r="K70">
        <v>0</v>
      </c>
      <c r="L70">
        <v>0</v>
      </c>
      <c r="M70">
        <v>0</v>
      </c>
      <c r="N70" s="5">
        <v>0</v>
      </c>
      <c r="O70">
        <v>0</v>
      </c>
    </row>
    <row r="71" spans="1:15" hidden="1" x14ac:dyDescent="0.25">
      <c r="A71" s="2" t="s">
        <v>878</v>
      </c>
      <c r="B71" s="3">
        <v>43795</v>
      </c>
      <c r="C71" s="2" t="s">
        <v>879</v>
      </c>
      <c r="D71" t="s">
        <v>6138</v>
      </c>
      <c r="E71" s="2">
        <v>6</v>
      </c>
      <c r="F71" s="2" t="s">
        <v>880</v>
      </c>
      <c r="G71" s="4" t="s">
        <v>881</v>
      </c>
      <c r="H71" s="2" t="s">
        <v>28</v>
      </c>
      <c r="I71" s="2" t="s">
        <v>284</v>
      </c>
      <c r="J71">
        <v>0</v>
      </c>
      <c r="K71">
        <v>0</v>
      </c>
      <c r="L71">
        <v>0</v>
      </c>
      <c r="M71">
        <v>0</v>
      </c>
      <c r="N71" s="5">
        <v>0</v>
      </c>
      <c r="O71">
        <v>0</v>
      </c>
    </row>
    <row r="72" spans="1:15" hidden="1" x14ac:dyDescent="0.25">
      <c r="A72" s="2" t="s">
        <v>885</v>
      </c>
      <c r="B72" s="3">
        <v>43646</v>
      </c>
      <c r="C72" s="2" t="s">
        <v>886</v>
      </c>
      <c r="D72" t="s">
        <v>6148</v>
      </c>
      <c r="E72" s="2">
        <v>4</v>
      </c>
      <c r="F72" s="2" t="s">
        <v>887</v>
      </c>
      <c r="G72" s="4" t="s">
        <v>888</v>
      </c>
      <c r="H72" s="2" t="s">
        <v>19</v>
      </c>
      <c r="I72" s="2" t="s">
        <v>39</v>
      </c>
      <c r="J72">
        <v>0</v>
      </c>
      <c r="K72">
        <v>0</v>
      </c>
      <c r="L72">
        <v>0</v>
      </c>
      <c r="M72">
        <v>0</v>
      </c>
      <c r="N72" s="5">
        <v>0</v>
      </c>
      <c r="O72">
        <v>0</v>
      </c>
    </row>
    <row r="73" spans="1:15" hidden="1" x14ac:dyDescent="0.25">
      <c r="A73" s="2" t="s">
        <v>891</v>
      </c>
      <c r="B73" s="3">
        <v>44200</v>
      </c>
      <c r="C73" s="2" t="s">
        <v>892</v>
      </c>
      <c r="D73" t="s">
        <v>6145</v>
      </c>
      <c r="E73" s="2">
        <v>2</v>
      </c>
      <c r="F73" s="2" t="s">
        <v>893</v>
      </c>
      <c r="G73" s="4" t="s">
        <v>894</v>
      </c>
      <c r="H73" s="2" t="s">
        <v>318</v>
      </c>
      <c r="I73" s="2" t="s">
        <v>408</v>
      </c>
      <c r="J73">
        <v>0</v>
      </c>
      <c r="K73">
        <v>0</v>
      </c>
      <c r="L73">
        <v>0</v>
      </c>
      <c r="M73">
        <v>0</v>
      </c>
      <c r="N73" s="5">
        <v>0</v>
      </c>
      <c r="O73">
        <v>0</v>
      </c>
    </row>
    <row r="74" spans="1:15" hidden="1" x14ac:dyDescent="0.25">
      <c r="A74" s="2" t="s">
        <v>897</v>
      </c>
      <c r="B74" s="3">
        <v>44131</v>
      </c>
      <c r="C74" s="2" t="s">
        <v>898</v>
      </c>
      <c r="D74" t="s">
        <v>6175</v>
      </c>
      <c r="E74" s="2">
        <v>3</v>
      </c>
      <c r="F74" s="2" t="s">
        <v>899</v>
      </c>
      <c r="G74" s="4">
        <v>0</v>
      </c>
      <c r="H74" s="2" t="s">
        <v>19</v>
      </c>
      <c r="I74" s="2" t="s">
        <v>69</v>
      </c>
      <c r="J74">
        <v>0</v>
      </c>
      <c r="K74">
        <v>0</v>
      </c>
      <c r="L74">
        <v>0</v>
      </c>
      <c r="M74">
        <v>0</v>
      </c>
      <c r="N74" s="5">
        <v>0</v>
      </c>
      <c r="O74">
        <v>0</v>
      </c>
    </row>
    <row r="75" spans="1:15" hidden="1" x14ac:dyDescent="0.25">
      <c r="A75" s="2" t="s">
        <v>902</v>
      </c>
      <c r="B75" s="3">
        <v>44362</v>
      </c>
      <c r="C75" s="2" t="s">
        <v>903</v>
      </c>
      <c r="D75" t="s">
        <v>6159</v>
      </c>
      <c r="E75" s="2">
        <v>5</v>
      </c>
      <c r="F75" s="2" t="s">
        <v>904</v>
      </c>
      <c r="G75" s="4">
        <v>0</v>
      </c>
      <c r="H75" s="2" t="s">
        <v>19</v>
      </c>
      <c r="I75" s="2" t="s">
        <v>35</v>
      </c>
      <c r="J75">
        <v>0</v>
      </c>
      <c r="K75">
        <v>0</v>
      </c>
      <c r="L75">
        <v>0</v>
      </c>
      <c r="M75">
        <v>0</v>
      </c>
      <c r="N75" s="5">
        <v>0</v>
      </c>
      <c r="O75">
        <v>0</v>
      </c>
    </row>
    <row r="76" spans="1:15" hidden="1" x14ac:dyDescent="0.25">
      <c r="A76" s="2" t="s">
        <v>907</v>
      </c>
      <c r="B76" s="3">
        <v>44396</v>
      </c>
      <c r="C76" s="2" t="s">
        <v>908</v>
      </c>
      <c r="D76" t="s">
        <v>6176</v>
      </c>
      <c r="E76" s="2">
        <v>2</v>
      </c>
      <c r="F76" s="2" t="s">
        <v>909</v>
      </c>
      <c r="G76" s="4" t="s">
        <v>910</v>
      </c>
      <c r="H76" s="2" t="s">
        <v>19</v>
      </c>
      <c r="I76" s="2" t="s">
        <v>83</v>
      </c>
      <c r="J76">
        <v>0</v>
      </c>
      <c r="K76">
        <v>0</v>
      </c>
      <c r="L76">
        <v>0</v>
      </c>
      <c r="M76">
        <v>0</v>
      </c>
      <c r="N76" s="5">
        <v>0</v>
      </c>
      <c r="O76">
        <v>0</v>
      </c>
    </row>
    <row r="77" spans="1:15" hidden="1" x14ac:dyDescent="0.25">
      <c r="A77" s="2" t="s">
        <v>913</v>
      </c>
      <c r="B77" s="3">
        <v>44400</v>
      </c>
      <c r="C77" s="2" t="s">
        <v>914</v>
      </c>
      <c r="D77" t="s">
        <v>6177</v>
      </c>
      <c r="E77" s="2">
        <v>6</v>
      </c>
      <c r="F77" s="2" t="s">
        <v>915</v>
      </c>
      <c r="G77" s="4" t="s">
        <v>916</v>
      </c>
      <c r="H77" s="2" t="s">
        <v>318</v>
      </c>
      <c r="I77" s="2" t="s">
        <v>327</v>
      </c>
      <c r="J77">
        <v>0</v>
      </c>
      <c r="K77">
        <v>0</v>
      </c>
      <c r="L77">
        <v>0</v>
      </c>
      <c r="M77">
        <v>0</v>
      </c>
      <c r="N77" s="5">
        <v>0</v>
      </c>
      <c r="O77">
        <v>0</v>
      </c>
    </row>
    <row r="78" spans="1:15" hidden="1" x14ac:dyDescent="0.25">
      <c r="A78" s="2" t="s">
        <v>919</v>
      </c>
      <c r="B78" s="3">
        <v>43855</v>
      </c>
      <c r="C78" s="2" t="s">
        <v>920</v>
      </c>
      <c r="D78" t="s">
        <v>6178</v>
      </c>
      <c r="E78" s="2">
        <v>1</v>
      </c>
      <c r="F78" s="2" t="s">
        <v>921</v>
      </c>
      <c r="G78" s="4">
        <v>0</v>
      </c>
      <c r="H78" s="2" t="s">
        <v>318</v>
      </c>
      <c r="I78" s="2" t="s">
        <v>482</v>
      </c>
      <c r="J78">
        <v>0</v>
      </c>
      <c r="K78">
        <v>0</v>
      </c>
      <c r="L78">
        <v>0</v>
      </c>
      <c r="M78">
        <v>0</v>
      </c>
      <c r="N78" s="5">
        <v>0</v>
      </c>
      <c r="O78">
        <v>0</v>
      </c>
    </row>
    <row r="79" spans="1:15" hidden="1" x14ac:dyDescent="0.25">
      <c r="A79" s="2" t="s">
        <v>924</v>
      </c>
      <c r="B79" s="3">
        <v>43594</v>
      </c>
      <c r="C79" s="2" t="s">
        <v>925</v>
      </c>
      <c r="D79" t="s">
        <v>6153</v>
      </c>
      <c r="E79" s="2">
        <v>2</v>
      </c>
      <c r="F79" s="2" t="s">
        <v>926</v>
      </c>
      <c r="G79" s="4" t="s">
        <v>927</v>
      </c>
      <c r="H79" s="2" t="s">
        <v>19</v>
      </c>
      <c r="I79" s="2" t="s">
        <v>212</v>
      </c>
      <c r="J79">
        <v>0</v>
      </c>
      <c r="K79">
        <v>0</v>
      </c>
      <c r="L79">
        <v>0</v>
      </c>
      <c r="M79">
        <v>0</v>
      </c>
      <c r="N79" s="5">
        <v>0</v>
      </c>
      <c r="O79">
        <v>0</v>
      </c>
    </row>
    <row r="80" spans="1:15" hidden="1" x14ac:dyDescent="0.25">
      <c r="A80" s="2" t="s">
        <v>930</v>
      </c>
      <c r="B80" s="3">
        <v>43920</v>
      </c>
      <c r="C80" s="2" t="s">
        <v>931</v>
      </c>
      <c r="D80" t="s">
        <v>6157</v>
      </c>
      <c r="E80" s="2">
        <v>6</v>
      </c>
      <c r="F80" s="2" t="s">
        <v>932</v>
      </c>
      <c r="G80" s="4" t="s">
        <v>933</v>
      </c>
      <c r="H80" s="2" t="s">
        <v>19</v>
      </c>
      <c r="I80" s="2" t="s">
        <v>52</v>
      </c>
      <c r="J80">
        <v>0</v>
      </c>
      <c r="K80">
        <v>0</v>
      </c>
      <c r="L80">
        <v>0</v>
      </c>
      <c r="M80">
        <v>0</v>
      </c>
      <c r="N80" s="5">
        <v>0</v>
      </c>
      <c r="O80">
        <v>0</v>
      </c>
    </row>
    <row r="81" spans="1:15" hidden="1" x14ac:dyDescent="0.25">
      <c r="A81" s="2" t="s">
        <v>936</v>
      </c>
      <c r="B81" s="3">
        <v>44633</v>
      </c>
      <c r="C81" s="2" t="s">
        <v>937</v>
      </c>
      <c r="D81" t="s">
        <v>6179</v>
      </c>
      <c r="E81" s="2">
        <v>4</v>
      </c>
      <c r="F81" s="2" t="s">
        <v>938</v>
      </c>
      <c r="G81" s="4" t="s">
        <v>939</v>
      </c>
      <c r="H81" s="2" t="s">
        <v>19</v>
      </c>
      <c r="I81" s="2" t="s">
        <v>288</v>
      </c>
      <c r="J81">
        <v>0</v>
      </c>
      <c r="K81">
        <v>0</v>
      </c>
      <c r="L81">
        <v>0</v>
      </c>
      <c r="M81">
        <v>0</v>
      </c>
      <c r="N81" s="5">
        <v>0</v>
      </c>
      <c r="O81">
        <v>0</v>
      </c>
    </row>
    <row r="82" spans="1:15" hidden="1" x14ac:dyDescent="0.25">
      <c r="A82" s="2" t="s">
        <v>942</v>
      </c>
      <c r="B82" s="3">
        <v>43572</v>
      </c>
      <c r="C82" s="2" t="s">
        <v>943</v>
      </c>
      <c r="D82" t="s">
        <v>6180</v>
      </c>
      <c r="E82" s="2">
        <v>5</v>
      </c>
      <c r="F82" s="2" t="s">
        <v>944</v>
      </c>
      <c r="G82" s="4" t="s">
        <v>945</v>
      </c>
      <c r="H82" s="2" t="s">
        <v>19</v>
      </c>
      <c r="I82" s="2" t="s">
        <v>149</v>
      </c>
      <c r="J82">
        <v>0</v>
      </c>
      <c r="K82">
        <v>0</v>
      </c>
      <c r="L82">
        <v>0</v>
      </c>
      <c r="M82">
        <v>0</v>
      </c>
      <c r="N82" s="5">
        <v>0</v>
      </c>
      <c r="O82">
        <v>0</v>
      </c>
    </row>
    <row r="83" spans="1:15" hidden="1" x14ac:dyDescent="0.25">
      <c r="A83" s="2" t="s">
        <v>948</v>
      </c>
      <c r="B83" s="3">
        <v>43763</v>
      </c>
      <c r="C83" s="2" t="s">
        <v>949</v>
      </c>
      <c r="D83" t="s">
        <v>6164</v>
      </c>
      <c r="E83" s="2">
        <v>3</v>
      </c>
      <c r="F83" s="2" t="s">
        <v>950</v>
      </c>
      <c r="G83" s="4" t="s">
        <v>951</v>
      </c>
      <c r="H83" s="2" t="s">
        <v>19</v>
      </c>
      <c r="I83" s="2" t="s">
        <v>78</v>
      </c>
      <c r="J83">
        <v>0</v>
      </c>
      <c r="K83">
        <v>0</v>
      </c>
      <c r="L83">
        <v>0</v>
      </c>
      <c r="M83">
        <v>0</v>
      </c>
      <c r="N83" s="5">
        <v>0</v>
      </c>
      <c r="O83">
        <v>0</v>
      </c>
    </row>
    <row r="84" spans="1:15" hidden="1" x14ac:dyDescent="0.25">
      <c r="A84" s="2" t="s">
        <v>954</v>
      </c>
      <c r="B84" s="3">
        <v>43721</v>
      </c>
      <c r="C84" s="2" t="s">
        <v>955</v>
      </c>
      <c r="D84" t="s">
        <v>6181</v>
      </c>
      <c r="E84" s="2">
        <v>3</v>
      </c>
      <c r="F84" s="2" t="s">
        <v>956</v>
      </c>
      <c r="G84" s="4" t="s">
        <v>957</v>
      </c>
      <c r="H84" s="2" t="s">
        <v>318</v>
      </c>
      <c r="I84" s="2" t="s">
        <v>456</v>
      </c>
      <c r="J84">
        <v>0</v>
      </c>
      <c r="K84">
        <v>0</v>
      </c>
      <c r="L84">
        <v>0</v>
      </c>
      <c r="M84">
        <v>0</v>
      </c>
      <c r="N84" s="5">
        <v>0</v>
      </c>
      <c r="O84">
        <v>0</v>
      </c>
    </row>
    <row r="85" spans="1:15" hidden="1" x14ac:dyDescent="0.25">
      <c r="A85" s="2" t="s">
        <v>960</v>
      </c>
      <c r="B85" s="3">
        <v>43933</v>
      </c>
      <c r="C85" s="2" t="s">
        <v>961</v>
      </c>
      <c r="D85" t="s">
        <v>6149</v>
      </c>
      <c r="E85" s="2">
        <v>4</v>
      </c>
      <c r="F85" s="2" t="s">
        <v>962</v>
      </c>
      <c r="G85" s="4">
        <v>0</v>
      </c>
      <c r="H85" s="2" t="s">
        <v>19</v>
      </c>
      <c r="I85" s="2" t="s">
        <v>120</v>
      </c>
      <c r="J85">
        <v>0</v>
      </c>
      <c r="K85">
        <v>0</v>
      </c>
      <c r="L85">
        <v>0</v>
      </c>
      <c r="M85">
        <v>0</v>
      </c>
      <c r="N85" s="5">
        <v>0</v>
      </c>
      <c r="O85">
        <v>0</v>
      </c>
    </row>
    <row r="86" spans="1:15" hidden="1" x14ac:dyDescent="0.25">
      <c r="A86" s="2" t="s">
        <v>965</v>
      </c>
      <c r="B86" s="3">
        <v>43783</v>
      </c>
      <c r="C86" s="2" t="s">
        <v>966</v>
      </c>
      <c r="D86" t="s">
        <v>6161</v>
      </c>
      <c r="E86" s="2">
        <v>1</v>
      </c>
      <c r="F86" s="2" t="s">
        <v>967</v>
      </c>
      <c r="G86" s="4" t="s">
        <v>968</v>
      </c>
      <c r="H86" s="2" t="s">
        <v>19</v>
      </c>
      <c r="I86" s="2" t="s">
        <v>30</v>
      </c>
      <c r="J86">
        <v>0</v>
      </c>
      <c r="K86">
        <v>0</v>
      </c>
      <c r="L86">
        <v>0</v>
      </c>
      <c r="M86">
        <v>0</v>
      </c>
      <c r="N86" s="5">
        <v>0</v>
      </c>
      <c r="O86">
        <v>0</v>
      </c>
    </row>
    <row r="87" spans="1:15" hidden="1" x14ac:dyDescent="0.25">
      <c r="A87" s="2" t="s">
        <v>971</v>
      </c>
      <c r="B87" s="3">
        <v>43664</v>
      </c>
      <c r="C87" s="2" t="s">
        <v>972</v>
      </c>
      <c r="D87" t="s">
        <v>6182</v>
      </c>
      <c r="E87" s="2">
        <v>3</v>
      </c>
      <c r="F87" s="2" t="s">
        <v>973</v>
      </c>
      <c r="G87" s="4" t="s">
        <v>974</v>
      </c>
      <c r="H87" s="2" t="s">
        <v>19</v>
      </c>
      <c r="I87" s="2" t="s">
        <v>106</v>
      </c>
      <c r="J87">
        <v>0</v>
      </c>
      <c r="K87">
        <v>0</v>
      </c>
      <c r="L87">
        <v>0</v>
      </c>
      <c r="M87">
        <v>0</v>
      </c>
      <c r="N87" s="5">
        <v>0</v>
      </c>
      <c r="O87">
        <v>0</v>
      </c>
    </row>
    <row r="88" spans="1:15" hidden="1" x14ac:dyDescent="0.25">
      <c r="A88" s="2" t="s">
        <v>971</v>
      </c>
      <c r="B88" s="3">
        <v>43664</v>
      </c>
      <c r="C88" s="2" t="s">
        <v>972</v>
      </c>
      <c r="D88" t="s">
        <v>6154</v>
      </c>
      <c r="E88" s="2">
        <v>4</v>
      </c>
      <c r="F88" s="2" t="s">
        <v>977</v>
      </c>
      <c r="G88" s="4" t="s">
        <v>978</v>
      </c>
      <c r="H88" s="2" t="s">
        <v>19</v>
      </c>
      <c r="I88" s="2" t="s">
        <v>77</v>
      </c>
      <c r="J88">
        <v>0</v>
      </c>
      <c r="K88">
        <v>0</v>
      </c>
      <c r="L88">
        <v>0</v>
      </c>
      <c r="M88">
        <v>0</v>
      </c>
      <c r="N88" s="5">
        <v>0</v>
      </c>
      <c r="O88">
        <v>0</v>
      </c>
    </row>
    <row r="89" spans="1:15" hidden="1" x14ac:dyDescent="0.25">
      <c r="A89" s="2" t="s">
        <v>980</v>
      </c>
      <c r="B89" s="3">
        <v>44289</v>
      </c>
      <c r="C89" s="2" t="s">
        <v>981</v>
      </c>
      <c r="D89" t="s">
        <v>6155</v>
      </c>
      <c r="E89" s="2">
        <v>3</v>
      </c>
      <c r="F89" s="2" t="s">
        <v>982</v>
      </c>
      <c r="G89" s="4" t="s">
        <v>983</v>
      </c>
      <c r="H89" s="2" t="s">
        <v>19</v>
      </c>
      <c r="I89" s="2" t="s">
        <v>289</v>
      </c>
      <c r="J89">
        <v>0</v>
      </c>
      <c r="K89">
        <v>0</v>
      </c>
      <c r="L89">
        <v>0</v>
      </c>
      <c r="M89">
        <v>0</v>
      </c>
      <c r="N89" s="5">
        <v>0</v>
      </c>
      <c r="O89">
        <v>0</v>
      </c>
    </row>
    <row r="90" spans="1:15" hidden="1" x14ac:dyDescent="0.25">
      <c r="A90" s="2" t="s">
        <v>985</v>
      </c>
      <c r="B90" s="3">
        <v>44284</v>
      </c>
      <c r="C90" s="2" t="s">
        <v>986</v>
      </c>
      <c r="D90" t="s">
        <v>6179</v>
      </c>
      <c r="E90" s="2">
        <v>3</v>
      </c>
      <c r="F90" s="2" t="s">
        <v>987</v>
      </c>
      <c r="G90" s="4" t="s">
        <v>988</v>
      </c>
      <c r="H90" s="2" t="s">
        <v>19</v>
      </c>
      <c r="I90" s="2" t="s">
        <v>122</v>
      </c>
      <c r="J90">
        <v>0</v>
      </c>
      <c r="K90">
        <v>0</v>
      </c>
      <c r="L90">
        <v>0</v>
      </c>
      <c r="M90">
        <v>0</v>
      </c>
      <c r="N90" s="5">
        <v>0</v>
      </c>
      <c r="O90">
        <v>0</v>
      </c>
    </row>
    <row r="91" spans="1:15" hidden="1" x14ac:dyDescent="0.25">
      <c r="A91" s="2" t="s">
        <v>990</v>
      </c>
      <c r="B91" s="3">
        <v>44545</v>
      </c>
      <c r="C91" s="2" t="s">
        <v>991</v>
      </c>
      <c r="D91" t="s">
        <v>6140</v>
      </c>
      <c r="E91" s="2">
        <v>6</v>
      </c>
      <c r="F91" s="2" t="s">
        <v>992</v>
      </c>
      <c r="G91" s="4" t="s">
        <v>993</v>
      </c>
      <c r="H91" s="2" t="s">
        <v>19</v>
      </c>
      <c r="I91" s="2" t="s">
        <v>116</v>
      </c>
      <c r="J91">
        <v>0</v>
      </c>
      <c r="K91">
        <v>0</v>
      </c>
      <c r="L91">
        <v>0</v>
      </c>
      <c r="M91">
        <v>0</v>
      </c>
      <c r="N91" s="5">
        <v>0</v>
      </c>
      <c r="O91">
        <v>0</v>
      </c>
    </row>
    <row r="92" spans="1:15" hidden="1" x14ac:dyDescent="0.25">
      <c r="A92" s="2" t="s">
        <v>996</v>
      </c>
      <c r="B92" s="3">
        <v>43971</v>
      </c>
      <c r="C92" s="2" t="s">
        <v>997</v>
      </c>
      <c r="D92" t="s">
        <v>6140</v>
      </c>
      <c r="E92" s="2">
        <v>4</v>
      </c>
      <c r="F92" s="2" t="s">
        <v>998</v>
      </c>
      <c r="G92" s="4">
        <v>0</v>
      </c>
      <c r="H92" s="2" t="s">
        <v>318</v>
      </c>
      <c r="I92" s="2" t="s">
        <v>329</v>
      </c>
      <c r="J92">
        <v>0</v>
      </c>
      <c r="K92">
        <v>0</v>
      </c>
      <c r="L92">
        <v>0</v>
      </c>
      <c r="M92">
        <v>0</v>
      </c>
      <c r="N92" s="5">
        <v>0</v>
      </c>
      <c r="O92">
        <v>0</v>
      </c>
    </row>
    <row r="93" spans="1:15" hidden="1" x14ac:dyDescent="0.25">
      <c r="A93" s="2" t="s">
        <v>1001</v>
      </c>
      <c r="B93" s="3">
        <v>44137</v>
      </c>
      <c r="C93" s="2" t="s">
        <v>1002</v>
      </c>
      <c r="D93" t="s">
        <v>6175</v>
      </c>
      <c r="E93" s="2">
        <v>4</v>
      </c>
      <c r="F93" s="2" t="s">
        <v>1003</v>
      </c>
      <c r="G93" s="4" t="s">
        <v>1004</v>
      </c>
      <c r="H93" s="2" t="s">
        <v>19</v>
      </c>
      <c r="I93" s="2" t="s">
        <v>153</v>
      </c>
      <c r="J93">
        <v>0</v>
      </c>
      <c r="K93">
        <v>0</v>
      </c>
      <c r="L93">
        <v>0</v>
      </c>
      <c r="M93">
        <v>0</v>
      </c>
      <c r="N93" s="5">
        <v>0</v>
      </c>
      <c r="O93">
        <v>0</v>
      </c>
    </row>
    <row r="94" spans="1:15" hidden="1" x14ac:dyDescent="0.25">
      <c r="A94" s="2" t="s">
        <v>1007</v>
      </c>
      <c r="B94" s="3">
        <v>44037</v>
      </c>
      <c r="C94" s="2" t="s">
        <v>1008</v>
      </c>
      <c r="D94" t="s">
        <v>6171</v>
      </c>
      <c r="E94" s="2">
        <v>3</v>
      </c>
      <c r="F94" s="2" t="s">
        <v>1009</v>
      </c>
      <c r="G94" s="4">
        <v>0</v>
      </c>
      <c r="H94" s="2" t="s">
        <v>19</v>
      </c>
      <c r="I94" s="2" t="s">
        <v>123</v>
      </c>
      <c r="J94">
        <v>0</v>
      </c>
      <c r="K94">
        <v>0</v>
      </c>
      <c r="L94">
        <v>0</v>
      </c>
      <c r="M94">
        <v>0</v>
      </c>
      <c r="N94" s="5">
        <v>0</v>
      </c>
      <c r="O94">
        <v>0</v>
      </c>
    </row>
    <row r="95" spans="1:15" hidden="1" x14ac:dyDescent="0.25">
      <c r="A95" s="2" t="s">
        <v>1012</v>
      </c>
      <c r="B95" s="3">
        <v>43538</v>
      </c>
      <c r="C95" s="2" t="s">
        <v>1013</v>
      </c>
      <c r="D95" t="s">
        <v>6176</v>
      </c>
      <c r="E95" s="2">
        <v>4</v>
      </c>
      <c r="F95" s="2" t="s">
        <v>1014</v>
      </c>
      <c r="G95" s="4" t="s">
        <v>1015</v>
      </c>
      <c r="H95" s="2" t="s">
        <v>28</v>
      </c>
      <c r="I95" s="2" t="s">
        <v>113</v>
      </c>
      <c r="J95">
        <v>0</v>
      </c>
      <c r="K95">
        <v>0</v>
      </c>
      <c r="L95">
        <v>0</v>
      </c>
      <c r="M95">
        <v>0</v>
      </c>
      <c r="N95" s="5">
        <v>0</v>
      </c>
      <c r="O95">
        <v>0</v>
      </c>
    </row>
    <row r="96" spans="1:15" hidden="1" x14ac:dyDescent="0.25">
      <c r="A96" s="2" t="s">
        <v>1018</v>
      </c>
      <c r="B96" s="3">
        <v>44014</v>
      </c>
      <c r="C96" s="2" t="s">
        <v>1019</v>
      </c>
      <c r="D96" t="s">
        <v>6154</v>
      </c>
      <c r="E96" s="2">
        <v>6</v>
      </c>
      <c r="F96" s="2" t="s">
        <v>1020</v>
      </c>
      <c r="G96" s="4">
        <v>0</v>
      </c>
      <c r="H96" s="2" t="s">
        <v>318</v>
      </c>
      <c r="I96" s="2" t="s">
        <v>387</v>
      </c>
      <c r="J96">
        <v>0</v>
      </c>
      <c r="K96">
        <v>0</v>
      </c>
      <c r="L96">
        <v>0</v>
      </c>
      <c r="M96">
        <v>0</v>
      </c>
      <c r="N96" s="5">
        <v>0</v>
      </c>
      <c r="O96">
        <v>0</v>
      </c>
    </row>
    <row r="97" spans="1:15" hidden="1" x14ac:dyDescent="0.25">
      <c r="A97" s="2" t="s">
        <v>1022</v>
      </c>
      <c r="B97" s="3">
        <v>43816</v>
      </c>
      <c r="C97" s="2" t="s">
        <v>1023</v>
      </c>
      <c r="D97" t="s">
        <v>6175</v>
      </c>
      <c r="E97" s="2">
        <v>6</v>
      </c>
      <c r="F97" s="2" t="s">
        <v>1024</v>
      </c>
      <c r="G97" s="4" t="s">
        <v>1025</v>
      </c>
      <c r="H97" s="2" t="s">
        <v>19</v>
      </c>
      <c r="I97" s="2" t="s">
        <v>30</v>
      </c>
      <c r="J97">
        <v>0</v>
      </c>
      <c r="K97">
        <v>0</v>
      </c>
      <c r="L97">
        <v>0</v>
      </c>
      <c r="M97">
        <v>0</v>
      </c>
      <c r="N97" s="5">
        <v>0</v>
      </c>
      <c r="O97">
        <v>0</v>
      </c>
    </row>
    <row r="98" spans="1:15" hidden="1" x14ac:dyDescent="0.25">
      <c r="A98" s="2" t="s">
        <v>1027</v>
      </c>
      <c r="B98" s="3">
        <v>44171</v>
      </c>
      <c r="C98" s="2" t="s">
        <v>1028</v>
      </c>
      <c r="D98" t="s">
        <v>6154</v>
      </c>
      <c r="E98" s="2">
        <v>2</v>
      </c>
      <c r="F98" s="2" t="s">
        <v>1029</v>
      </c>
      <c r="G98" s="4" t="s">
        <v>1030</v>
      </c>
      <c r="H98" s="2" t="s">
        <v>19</v>
      </c>
      <c r="I98" s="2" t="s">
        <v>104</v>
      </c>
      <c r="J98">
        <v>0</v>
      </c>
      <c r="K98">
        <v>0</v>
      </c>
      <c r="L98">
        <v>0</v>
      </c>
      <c r="M98">
        <v>0</v>
      </c>
      <c r="N98" s="5">
        <v>0</v>
      </c>
      <c r="O98">
        <v>0</v>
      </c>
    </row>
    <row r="99" spans="1:15" hidden="1" x14ac:dyDescent="0.25">
      <c r="A99" s="2" t="s">
        <v>1032</v>
      </c>
      <c r="B99" s="3">
        <v>44259</v>
      </c>
      <c r="C99" s="2" t="s">
        <v>1033</v>
      </c>
      <c r="D99" t="s">
        <v>6157</v>
      </c>
      <c r="E99" s="2">
        <v>2</v>
      </c>
      <c r="F99" s="2" t="s">
        <v>1034</v>
      </c>
      <c r="G99" s="4" t="s">
        <v>1035</v>
      </c>
      <c r="H99" s="2" t="s">
        <v>19</v>
      </c>
      <c r="I99" s="2" t="s">
        <v>30</v>
      </c>
      <c r="J99">
        <v>0</v>
      </c>
      <c r="K99">
        <v>0</v>
      </c>
      <c r="L99">
        <v>0</v>
      </c>
      <c r="M99">
        <v>0</v>
      </c>
      <c r="N99" s="5">
        <v>0</v>
      </c>
      <c r="O99">
        <v>0</v>
      </c>
    </row>
    <row r="100" spans="1:15" hidden="1" x14ac:dyDescent="0.25">
      <c r="A100" s="2" t="s">
        <v>1038</v>
      </c>
      <c r="B100" s="3">
        <v>44394</v>
      </c>
      <c r="C100" s="2" t="s">
        <v>1039</v>
      </c>
      <c r="D100" t="s">
        <v>6154</v>
      </c>
      <c r="E100" s="2">
        <v>1</v>
      </c>
      <c r="F100" s="2" t="s">
        <v>1040</v>
      </c>
      <c r="G100" s="4">
        <v>0</v>
      </c>
      <c r="H100" s="2" t="s">
        <v>318</v>
      </c>
      <c r="I100" s="2" t="s">
        <v>384</v>
      </c>
      <c r="J100">
        <v>0</v>
      </c>
      <c r="K100">
        <v>0</v>
      </c>
      <c r="L100">
        <v>0</v>
      </c>
      <c r="M100">
        <v>0</v>
      </c>
      <c r="N100" s="5">
        <v>0</v>
      </c>
      <c r="O100">
        <v>0</v>
      </c>
    </row>
    <row r="101" spans="1:15" hidden="1" x14ac:dyDescent="0.25">
      <c r="A101" s="2" t="s">
        <v>1043</v>
      </c>
      <c r="B101" s="3">
        <v>44139</v>
      </c>
      <c r="C101" s="2" t="s">
        <v>1044</v>
      </c>
      <c r="D101" t="s">
        <v>6159</v>
      </c>
      <c r="E101" s="2">
        <v>3</v>
      </c>
      <c r="F101" s="2" t="s">
        <v>1045</v>
      </c>
      <c r="G101" s="4">
        <v>0</v>
      </c>
      <c r="H101" s="2" t="s">
        <v>19</v>
      </c>
      <c r="I101" s="2" t="s">
        <v>39</v>
      </c>
      <c r="J101">
        <v>0</v>
      </c>
      <c r="K101">
        <v>0</v>
      </c>
      <c r="L101">
        <v>0</v>
      </c>
      <c r="M101">
        <v>0</v>
      </c>
      <c r="N101" s="5">
        <v>0</v>
      </c>
      <c r="O101">
        <v>0</v>
      </c>
    </row>
    <row r="102" spans="1:15" hidden="1" x14ac:dyDescent="0.25">
      <c r="A102" s="2" t="s">
        <v>1048</v>
      </c>
      <c r="B102" s="3">
        <v>44291</v>
      </c>
      <c r="C102" s="2" t="s">
        <v>1049</v>
      </c>
      <c r="D102" t="s">
        <v>6167</v>
      </c>
      <c r="E102" s="2">
        <v>2</v>
      </c>
      <c r="F102" s="2" t="s">
        <v>1050</v>
      </c>
      <c r="G102" s="4">
        <v>0</v>
      </c>
      <c r="H102" s="2" t="s">
        <v>19</v>
      </c>
      <c r="I102" s="2" t="s">
        <v>291</v>
      </c>
      <c r="J102">
        <v>0</v>
      </c>
      <c r="K102">
        <v>0</v>
      </c>
      <c r="L102">
        <v>0</v>
      </c>
      <c r="M102">
        <v>0</v>
      </c>
      <c r="N102" s="5">
        <v>0</v>
      </c>
      <c r="O102">
        <v>0</v>
      </c>
    </row>
    <row r="103" spans="1:15" hidden="1" x14ac:dyDescent="0.25">
      <c r="A103" s="2" t="s">
        <v>1053</v>
      </c>
      <c r="B103" s="3">
        <v>43891</v>
      </c>
      <c r="C103" s="2" t="s">
        <v>1054</v>
      </c>
      <c r="D103" t="s">
        <v>6165</v>
      </c>
      <c r="E103" s="2">
        <v>5</v>
      </c>
      <c r="F103" s="2" t="s">
        <v>1055</v>
      </c>
      <c r="G103" s="4" t="s">
        <v>1056</v>
      </c>
      <c r="H103" s="2" t="s">
        <v>318</v>
      </c>
      <c r="I103" s="2" t="s">
        <v>437</v>
      </c>
      <c r="J103">
        <v>0</v>
      </c>
      <c r="K103">
        <v>0</v>
      </c>
      <c r="L103">
        <v>0</v>
      </c>
      <c r="M103">
        <v>0</v>
      </c>
      <c r="N103" s="5">
        <v>0</v>
      </c>
      <c r="O103">
        <v>0</v>
      </c>
    </row>
    <row r="104" spans="1:15" hidden="1" x14ac:dyDescent="0.25">
      <c r="A104" s="2" t="s">
        <v>1059</v>
      </c>
      <c r="B104" s="3">
        <v>44488</v>
      </c>
      <c r="C104" s="2" t="s">
        <v>1060</v>
      </c>
      <c r="D104" t="s">
        <v>6143</v>
      </c>
      <c r="E104" s="2">
        <v>3</v>
      </c>
      <c r="F104" s="2" t="s">
        <v>1061</v>
      </c>
      <c r="G104" s="4" t="s">
        <v>1062</v>
      </c>
      <c r="H104" s="2" t="s">
        <v>318</v>
      </c>
      <c r="I104" s="2" t="s">
        <v>417</v>
      </c>
      <c r="J104">
        <v>0</v>
      </c>
      <c r="K104">
        <v>0</v>
      </c>
      <c r="L104">
        <v>0</v>
      </c>
      <c r="M104">
        <v>0</v>
      </c>
      <c r="N104" s="5">
        <v>0</v>
      </c>
      <c r="O104">
        <v>0</v>
      </c>
    </row>
    <row r="105" spans="1:15" hidden="1" x14ac:dyDescent="0.25">
      <c r="A105" s="2" t="s">
        <v>1065</v>
      </c>
      <c r="B105" s="3">
        <v>44750</v>
      </c>
      <c r="C105" s="2" t="s">
        <v>1066</v>
      </c>
      <c r="D105" t="s">
        <v>6174</v>
      </c>
      <c r="E105" s="2">
        <v>4</v>
      </c>
      <c r="F105" s="2" t="s">
        <v>1067</v>
      </c>
      <c r="G105" s="4" t="s">
        <v>1068</v>
      </c>
      <c r="H105" s="2" t="s">
        <v>19</v>
      </c>
      <c r="I105" s="2" t="s">
        <v>219</v>
      </c>
      <c r="J105">
        <v>0</v>
      </c>
      <c r="K105">
        <v>0</v>
      </c>
      <c r="L105">
        <v>0</v>
      </c>
      <c r="M105">
        <v>0</v>
      </c>
      <c r="N105" s="5">
        <v>0</v>
      </c>
      <c r="O105">
        <v>0</v>
      </c>
    </row>
    <row r="106" spans="1:15" hidden="1" x14ac:dyDescent="0.25">
      <c r="A106" s="2" t="s">
        <v>1071</v>
      </c>
      <c r="B106" s="3">
        <v>43694</v>
      </c>
      <c r="C106" s="2" t="s">
        <v>1072</v>
      </c>
      <c r="D106" t="s">
        <v>6162</v>
      </c>
      <c r="E106" s="2">
        <v>6</v>
      </c>
      <c r="F106" s="2" t="s">
        <v>1073</v>
      </c>
      <c r="G106" s="4" t="s">
        <v>1074</v>
      </c>
      <c r="H106" s="2" t="s">
        <v>19</v>
      </c>
      <c r="I106" s="2" t="s">
        <v>142</v>
      </c>
      <c r="J106">
        <v>0</v>
      </c>
      <c r="K106">
        <v>0</v>
      </c>
      <c r="L106">
        <v>0</v>
      </c>
      <c r="M106">
        <v>0</v>
      </c>
      <c r="N106" s="5">
        <v>0</v>
      </c>
      <c r="O106">
        <v>0</v>
      </c>
    </row>
    <row r="107" spans="1:15" hidden="1" x14ac:dyDescent="0.25">
      <c r="A107" s="2" t="s">
        <v>1077</v>
      </c>
      <c r="B107" s="3">
        <v>43982</v>
      </c>
      <c r="C107" s="2" t="s">
        <v>1078</v>
      </c>
      <c r="D107" t="s">
        <v>6157</v>
      </c>
      <c r="E107" s="2">
        <v>6</v>
      </c>
      <c r="F107" s="2" t="s">
        <v>1079</v>
      </c>
      <c r="G107" s="4" t="s">
        <v>1080</v>
      </c>
      <c r="H107" s="2" t="s">
        <v>19</v>
      </c>
      <c r="I107" s="2" t="s">
        <v>63</v>
      </c>
      <c r="J107">
        <v>0</v>
      </c>
      <c r="K107">
        <v>0</v>
      </c>
      <c r="L107">
        <v>0</v>
      </c>
      <c r="M107">
        <v>0</v>
      </c>
      <c r="N107" s="5">
        <v>0</v>
      </c>
      <c r="O107">
        <v>0</v>
      </c>
    </row>
    <row r="108" spans="1:15" hidden="1" x14ac:dyDescent="0.25">
      <c r="A108" s="2" t="s">
        <v>1083</v>
      </c>
      <c r="B108" s="3">
        <v>43956</v>
      </c>
      <c r="C108" s="2" t="s">
        <v>1084</v>
      </c>
      <c r="D108" t="s">
        <v>6183</v>
      </c>
      <c r="E108" s="2">
        <v>2</v>
      </c>
      <c r="F108" s="2" t="s">
        <v>1085</v>
      </c>
      <c r="G108" s="4" t="s">
        <v>1086</v>
      </c>
      <c r="H108" s="2" t="s">
        <v>19</v>
      </c>
      <c r="I108" s="2" t="s">
        <v>50</v>
      </c>
      <c r="J108">
        <v>0</v>
      </c>
      <c r="K108">
        <v>0</v>
      </c>
      <c r="L108">
        <v>0</v>
      </c>
      <c r="M108">
        <v>0</v>
      </c>
      <c r="N108" s="5">
        <v>0</v>
      </c>
      <c r="O108">
        <v>0</v>
      </c>
    </row>
    <row r="109" spans="1:15" hidden="1" x14ac:dyDescent="0.25">
      <c r="A109" s="2" t="s">
        <v>1089</v>
      </c>
      <c r="B109" s="3">
        <v>43569</v>
      </c>
      <c r="C109" s="2" t="s">
        <v>1090</v>
      </c>
      <c r="D109" t="s">
        <v>6146</v>
      </c>
      <c r="E109" s="2">
        <v>3</v>
      </c>
      <c r="F109" s="2" t="s">
        <v>1091</v>
      </c>
      <c r="G109" s="4" t="s">
        <v>1092</v>
      </c>
      <c r="H109" s="2" t="s">
        <v>19</v>
      </c>
      <c r="I109" s="2" t="s">
        <v>78</v>
      </c>
      <c r="J109">
        <v>0</v>
      </c>
      <c r="K109">
        <v>0</v>
      </c>
      <c r="L109">
        <v>0</v>
      </c>
      <c r="M109">
        <v>0</v>
      </c>
      <c r="N109" s="5">
        <v>0</v>
      </c>
      <c r="O109">
        <v>0</v>
      </c>
    </row>
    <row r="110" spans="1:15" hidden="1" x14ac:dyDescent="0.25">
      <c r="A110" s="2" t="s">
        <v>1095</v>
      </c>
      <c r="B110" s="3">
        <v>44041</v>
      </c>
      <c r="C110" s="2" t="s">
        <v>1096</v>
      </c>
      <c r="D110" t="s">
        <v>6157</v>
      </c>
      <c r="E110" s="2">
        <v>4</v>
      </c>
      <c r="F110" s="2" t="s">
        <v>1097</v>
      </c>
      <c r="G110" s="4">
        <v>0</v>
      </c>
      <c r="H110" s="2" t="s">
        <v>19</v>
      </c>
      <c r="I110" s="2" t="s">
        <v>66</v>
      </c>
      <c r="J110">
        <v>0</v>
      </c>
      <c r="K110">
        <v>0</v>
      </c>
      <c r="L110">
        <v>0</v>
      </c>
      <c r="M110">
        <v>0</v>
      </c>
      <c r="N110" s="5">
        <v>0</v>
      </c>
      <c r="O110">
        <v>0</v>
      </c>
    </row>
    <row r="111" spans="1:15" hidden="1" x14ac:dyDescent="0.25">
      <c r="A111" s="2" t="s">
        <v>1100</v>
      </c>
      <c r="B111" s="3">
        <v>43811</v>
      </c>
      <c r="C111" s="2" t="s">
        <v>1101</v>
      </c>
      <c r="D111" t="s">
        <v>6169</v>
      </c>
      <c r="E111" s="2">
        <v>1</v>
      </c>
      <c r="F111" s="2" t="s">
        <v>1102</v>
      </c>
      <c r="G111" s="4" t="s">
        <v>1103</v>
      </c>
      <c r="H111" s="2" t="s">
        <v>19</v>
      </c>
      <c r="I111" s="2" t="s">
        <v>235</v>
      </c>
      <c r="J111">
        <v>0</v>
      </c>
      <c r="K111">
        <v>0</v>
      </c>
      <c r="L111">
        <v>0</v>
      </c>
      <c r="M111">
        <v>0</v>
      </c>
      <c r="N111" s="5">
        <v>0</v>
      </c>
      <c r="O111">
        <v>0</v>
      </c>
    </row>
    <row r="112" spans="1:15" hidden="1" x14ac:dyDescent="0.25">
      <c r="A112" s="2" t="s">
        <v>1106</v>
      </c>
      <c r="B112" s="3">
        <v>44727</v>
      </c>
      <c r="C112" s="2" t="s">
        <v>1107</v>
      </c>
      <c r="D112" t="s">
        <v>6184</v>
      </c>
      <c r="E112" s="2">
        <v>3</v>
      </c>
      <c r="F112" s="2" t="s">
        <v>1108</v>
      </c>
      <c r="G112" s="4" t="s">
        <v>1109</v>
      </c>
      <c r="H112" s="2" t="s">
        <v>19</v>
      </c>
      <c r="I112" s="2" t="s">
        <v>83</v>
      </c>
      <c r="J112">
        <v>0</v>
      </c>
      <c r="K112">
        <v>0</v>
      </c>
      <c r="L112">
        <v>0</v>
      </c>
      <c r="M112">
        <v>0</v>
      </c>
      <c r="N112" s="5">
        <v>0</v>
      </c>
      <c r="O112">
        <v>0</v>
      </c>
    </row>
    <row r="113" spans="1:15" hidden="1" x14ac:dyDescent="0.25">
      <c r="A113" s="2" t="s">
        <v>1112</v>
      </c>
      <c r="B113" s="3">
        <v>43642</v>
      </c>
      <c r="C113" s="2" t="s">
        <v>1113</v>
      </c>
      <c r="D113" t="s">
        <v>6172</v>
      </c>
      <c r="E113" s="2">
        <v>5</v>
      </c>
      <c r="F113" s="2" t="s">
        <v>1114</v>
      </c>
      <c r="G113" s="4" t="s">
        <v>1115</v>
      </c>
      <c r="H113" s="2" t="s">
        <v>19</v>
      </c>
      <c r="I113" s="2" t="s">
        <v>250</v>
      </c>
      <c r="J113">
        <v>0</v>
      </c>
      <c r="K113">
        <v>0</v>
      </c>
      <c r="L113">
        <v>0</v>
      </c>
      <c r="M113">
        <v>0</v>
      </c>
      <c r="N113" s="5">
        <v>0</v>
      </c>
      <c r="O113">
        <v>0</v>
      </c>
    </row>
    <row r="114" spans="1:15" hidden="1" x14ac:dyDescent="0.25">
      <c r="A114" s="2" t="s">
        <v>1117</v>
      </c>
      <c r="B114" s="3">
        <v>44481</v>
      </c>
      <c r="C114" s="2" t="s">
        <v>1118</v>
      </c>
      <c r="D114" t="s">
        <v>6155</v>
      </c>
      <c r="E114" s="2">
        <v>1</v>
      </c>
      <c r="F114" s="2" t="s">
        <v>1119</v>
      </c>
      <c r="G114" s="4" t="s">
        <v>1120</v>
      </c>
      <c r="H114" s="2" t="s">
        <v>19</v>
      </c>
      <c r="I114" s="2" t="s">
        <v>38</v>
      </c>
      <c r="J114">
        <v>0</v>
      </c>
      <c r="K114">
        <v>0</v>
      </c>
      <c r="L114">
        <v>0</v>
      </c>
      <c r="M114">
        <v>0</v>
      </c>
      <c r="N114" s="5">
        <v>0</v>
      </c>
      <c r="O114">
        <v>0</v>
      </c>
    </row>
    <row r="115" spans="1:15" hidden="1" x14ac:dyDescent="0.25">
      <c r="A115" s="2" t="s">
        <v>1123</v>
      </c>
      <c r="B115" s="3">
        <v>43556</v>
      </c>
      <c r="C115" s="2" t="s">
        <v>1124</v>
      </c>
      <c r="D115" t="s">
        <v>6162</v>
      </c>
      <c r="E115" s="2">
        <v>1</v>
      </c>
      <c r="F115" s="2" t="s">
        <v>1125</v>
      </c>
      <c r="G115" s="4" t="s">
        <v>1126</v>
      </c>
      <c r="H115" s="2" t="s">
        <v>318</v>
      </c>
      <c r="I115" s="2" t="s">
        <v>432</v>
      </c>
      <c r="J115">
        <v>0</v>
      </c>
      <c r="K115">
        <v>0</v>
      </c>
      <c r="L115">
        <v>0</v>
      </c>
      <c r="M115">
        <v>0</v>
      </c>
      <c r="N115" s="5">
        <v>0</v>
      </c>
      <c r="O115">
        <v>0</v>
      </c>
    </row>
    <row r="116" spans="1:15" hidden="1" x14ac:dyDescent="0.25">
      <c r="A116" s="2" t="s">
        <v>1129</v>
      </c>
      <c r="B116" s="3">
        <v>44265</v>
      </c>
      <c r="C116" s="2" t="s">
        <v>1130</v>
      </c>
      <c r="D116" t="s">
        <v>6178</v>
      </c>
      <c r="E116" s="2">
        <v>4</v>
      </c>
      <c r="F116" s="2" t="s">
        <v>1131</v>
      </c>
      <c r="G116" s="4">
        <v>0</v>
      </c>
      <c r="H116" s="2" t="s">
        <v>19</v>
      </c>
      <c r="I116" s="2" t="s">
        <v>26</v>
      </c>
      <c r="J116">
        <v>0</v>
      </c>
      <c r="K116">
        <v>0</v>
      </c>
      <c r="L116">
        <v>0</v>
      </c>
      <c r="M116">
        <v>0</v>
      </c>
      <c r="N116" s="5">
        <v>0</v>
      </c>
      <c r="O116">
        <v>0</v>
      </c>
    </row>
    <row r="117" spans="1:15" hidden="1" x14ac:dyDescent="0.25">
      <c r="A117" s="2" t="s">
        <v>1134</v>
      </c>
      <c r="B117" s="3">
        <v>43693</v>
      </c>
      <c r="C117" s="2" t="s">
        <v>1135</v>
      </c>
      <c r="D117" t="s">
        <v>6170</v>
      </c>
      <c r="E117" s="2">
        <v>1</v>
      </c>
      <c r="F117" s="2" t="s">
        <v>1136</v>
      </c>
      <c r="G117" s="4" t="s">
        <v>1137</v>
      </c>
      <c r="H117" s="2" t="s">
        <v>28</v>
      </c>
      <c r="I117" s="2" t="s">
        <v>144</v>
      </c>
      <c r="J117">
        <v>0</v>
      </c>
      <c r="K117">
        <v>0</v>
      </c>
      <c r="L117">
        <v>0</v>
      </c>
      <c r="M117">
        <v>0</v>
      </c>
      <c r="N117" s="5">
        <v>0</v>
      </c>
      <c r="O117">
        <v>0</v>
      </c>
    </row>
    <row r="118" spans="1:15" hidden="1" x14ac:dyDescent="0.25">
      <c r="A118" s="2" t="s">
        <v>1140</v>
      </c>
      <c r="B118" s="3">
        <v>44054</v>
      </c>
      <c r="C118" s="2" t="s">
        <v>1141</v>
      </c>
      <c r="D118" t="s">
        <v>6145</v>
      </c>
      <c r="E118" s="2">
        <v>4</v>
      </c>
      <c r="F118" s="2" t="s">
        <v>1142</v>
      </c>
      <c r="G118" s="4" t="s">
        <v>1143</v>
      </c>
      <c r="H118" s="2" t="s">
        <v>318</v>
      </c>
      <c r="I118" s="2" t="s">
        <v>411</v>
      </c>
      <c r="J118">
        <v>0</v>
      </c>
      <c r="K118">
        <v>0</v>
      </c>
      <c r="L118">
        <v>0</v>
      </c>
      <c r="M118">
        <v>0</v>
      </c>
      <c r="N118" s="5">
        <v>0</v>
      </c>
      <c r="O118">
        <v>0</v>
      </c>
    </row>
    <row r="119" spans="1:15" hidden="1" x14ac:dyDescent="0.25">
      <c r="A119" s="2" t="s">
        <v>1146</v>
      </c>
      <c r="B119" s="3">
        <v>44656</v>
      </c>
      <c r="C119" s="2" t="s">
        <v>1147</v>
      </c>
      <c r="D119" t="s">
        <v>6161</v>
      </c>
      <c r="E119" s="2">
        <v>4</v>
      </c>
      <c r="F119" s="2" t="s">
        <v>1148</v>
      </c>
      <c r="G119" s="4" t="s">
        <v>1149</v>
      </c>
      <c r="H119" s="2" t="s">
        <v>19</v>
      </c>
      <c r="I119" s="2" t="s">
        <v>203</v>
      </c>
      <c r="J119">
        <v>0</v>
      </c>
      <c r="K119">
        <v>0</v>
      </c>
      <c r="L119">
        <v>0</v>
      </c>
      <c r="M119">
        <v>0</v>
      </c>
      <c r="N119" s="5">
        <v>0</v>
      </c>
      <c r="O119">
        <v>0</v>
      </c>
    </row>
    <row r="120" spans="1:15" hidden="1" x14ac:dyDescent="0.25">
      <c r="A120" s="2" t="s">
        <v>1152</v>
      </c>
      <c r="B120" s="3">
        <v>43760</v>
      </c>
      <c r="C120" s="2" t="s">
        <v>1153</v>
      </c>
      <c r="D120" t="s">
        <v>6144</v>
      </c>
      <c r="E120" s="2">
        <v>3</v>
      </c>
      <c r="F120" s="2" t="s">
        <v>1154</v>
      </c>
      <c r="G120" s="4" t="s">
        <v>1155</v>
      </c>
      <c r="H120" s="2" t="s">
        <v>19</v>
      </c>
      <c r="I120" s="2" t="s">
        <v>72</v>
      </c>
      <c r="J120">
        <v>0</v>
      </c>
      <c r="K120">
        <v>0</v>
      </c>
      <c r="L120">
        <v>0</v>
      </c>
      <c r="M120">
        <v>0</v>
      </c>
      <c r="N120" s="5">
        <v>0</v>
      </c>
      <c r="O120">
        <v>0</v>
      </c>
    </row>
    <row r="121" spans="1:15" hidden="1" x14ac:dyDescent="0.25">
      <c r="A121" s="2" t="s">
        <v>1158</v>
      </c>
      <c r="B121" s="3">
        <v>44471</v>
      </c>
      <c r="C121" s="2" t="s">
        <v>1159</v>
      </c>
      <c r="D121" t="s">
        <v>6156</v>
      </c>
      <c r="E121" s="2">
        <v>1</v>
      </c>
      <c r="F121" s="2" t="s">
        <v>1160</v>
      </c>
      <c r="G121" s="4" t="s">
        <v>1161</v>
      </c>
      <c r="H121" s="2" t="s">
        <v>19</v>
      </c>
      <c r="I121" s="2" t="s">
        <v>130</v>
      </c>
      <c r="J121">
        <v>0</v>
      </c>
      <c r="K121">
        <v>0</v>
      </c>
      <c r="L121">
        <v>0</v>
      </c>
      <c r="M121">
        <v>0</v>
      </c>
      <c r="N121" s="5">
        <v>0</v>
      </c>
      <c r="O121">
        <v>0</v>
      </c>
    </row>
    <row r="122" spans="1:15" hidden="1" x14ac:dyDescent="0.25">
      <c r="A122" s="2" t="s">
        <v>1158</v>
      </c>
      <c r="B122" s="3">
        <v>44471</v>
      </c>
      <c r="C122" s="2" t="s">
        <v>1159</v>
      </c>
      <c r="D122" t="s">
        <v>6167</v>
      </c>
      <c r="E122" s="2">
        <v>1</v>
      </c>
      <c r="F122" s="2" t="s">
        <v>1165</v>
      </c>
      <c r="G122" s="4" t="s">
        <v>1166</v>
      </c>
      <c r="H122" s="2" t="s">
        <v>19</v>
      </c>
      <c r="I122" s="2" t="s">
        <v>27</v>
      </c>
      <c r="J122">
        <v>0</v>
      </c>
      <c r="K122">
        <v>0</v>
      </c>
      <c r="L122">
        <v>0</v>
      </c>
      <c r="M122">
        <v>0</v>
      </c>
      <c r="N122" s="5">
        <v>0</v>
      </c>
      <c r="O122">
        <v>0</v>
      </c>
    </row>
    <row r="123" spans="1:15" hidden="1" x14ac:dyDescent="0.25">
      <c r="A123" s="2" t="s">
        <v>1158</v>
      </c>
      <c r="B123" s="3">
        <v>44471</v>
      </c>
      <c r="C123" s="2" t="s">
        <v>1159</v>
      </c>
      <c r="D123" t="s">
        <v>6141</v>
      </c>
      <c r="E123" s="2">
        <v>5</v>
      </c>
      <c r="F123" s="2" t="s">
        <v>1170</v>
      </c>
      <c r="G123" s="4" t="s">
        <v>1171</v>
      </c>
      <c r="H123" s="2" t="s">
        <v>19</v>
      </c>
      <c r="I123" s="2" t="s">
        <v>35</v>
      </c>
      <c r="J123">
        <v>0</v>
      </c>
      <c r="K123">
        <v>0</v>
      </c>
      <c r="L123">
        <v>0</v>
      </c>
      <c r="M123">
        <v>0</v>
      </c>
      <c r="N123" s="5">
        <v>0</v>
      </c>
      <c r="O123">
        <v>0</v>
      </c>
    </row>
    <row r="124" spans="1:15" hidden="1" x14ac:dyDescent="0.25">
      <c r="A124" s="2" t="s">
        <v>1174</v>
      </c>
      <c r="B124" s="3">
        <v>44268</v>
      </c>
      <c r="C124" s="2" t="s">
        <v>1175</v>
      </c>
      <c r="D124" t="s">
        <v>6158</v>
      </c>
      <c r="E124" s="2">
        <v>4</v>
      </c>
      <c r="F124" s="2" t="s">
        <v>1176</v>
      </c>
      <c r="G124" s="4" t="s">
        <v>1177</v>
      </c>
      <c r="H124" s="2" t="s">
        <v>19</v>
      </c>
      <c r="I124" s="2" t="s">
        <v>42</v>
      </c>
      <c r="J124">
        <v>0</v>
      </c>
      <c r="K124">
        <v>0</v>
      </c>
      <c r="L124">
        <v>0</v>
      </c>
      <c r="M124">
        <v>0</v>
      </c>
      <c r="N124" s="5">
        <v>0</v>
      </c>
      <c r="O124">
        <v>0</v>
      </c>
    </row>
    <row r="125" spans="1:15" hidden="1" x14ac:dyDescent="0.25">
      <c r="A125" s="2" t="s">
        <v>1180</v>
      </c>
      <c r="B125" s="3">
        <v>44724</v>
      </c>
      <c r="C125" s="2" t="s">
        <v>1181</v>
      </c>
      <c r="D125" t="s">
        <v>6164</v>
      </c>
      <c r="E125" s="2">
        <v>4</v>
      </c>
      <c r="F125" s="2" t="s">
        <v>1182</v>
      </c>
      <c r="G125" s="4" t="s">
        <v>1183</v>
      </c>
      <c r="H125" s="2" t="s">
        <v>19</v>
      </c>
      <c r="I125" s="2" t="s">
        <v>165</v>
      </c>
      <c r="J125">
        <v>0</v>
      </c>
      <c r="K125">
        <v>0</v>
      </c>
      <c r="L125">
        <v>0</v>
      </c>
      <c r="M125">
        <v>0</v>
      </c>
      <c r="N125" s="5">
        <v>0</v>
      </c>
      <c r="O125">
        <v>0</v>
      </c>
    </row>
    <row r="126" spans="1:15" hidden="1" x14ac:dyDescent="0.25">
      <c r="A126" s="2" t="s">
        <v>1186</v>
      </c>
      <c r="B126" s="3">
        <v>43582</v>
      </c>
      <c r="C126" s="2" t="s">
        <v>1187</v>
      </c>
      <c r="D126" t="s">
        <v>6159</v>
      </c>
      <c r="E126" s="2">
        <v>5</v>
      </c>
      <c r="F126" s="2" t="s">
        <v>1188</v>
      </c>
      <c r="G126" s="4" t="s">
        <v>1189</v>
      </c>
      <c r="H126" s="2" t="s">
        <v>19</v>
      </c>
      <c r="I126" s="2" t="s">
        <v>311</v>
      </c>
      <c r="J126">
        <v>0</v>
      </c>
      <c r="K126">
        <v>0</v>
      </c>
      <c r="L126">
        <v>0</v>
      </c>
      <c r="M126">
        <v>0</v>
      </c>
      <c r="N126" s="5">
        <v>0</v>
      </c>
      <c r="O126">
        <v>0</v>
      </c>
    </row>
    <row r="127" spans="1:15" hidden="1" x14ac:dyDescent="0.25">
      <c r="A127" s="2" t="s">
        <v>1192</v>
      </c>
      <c r="B127" s="3">
        <v>43608</v>
      </c>
      <c r="C127" s="2" t="s">
        <v>1193</v>
      </c>
      <c r="D127" t="s">
        <v>6160</v>
      </c>
      <c r="E127" s="2">
        <v>3</v>
      </c>
      <c r="F127" s="2" t="s">
        <v>1194</v>
      </c>
      <c r="G127" s="4" t="s">
        <v>1195</v>
      </c>
      <c r="H127" s="2" t="s">
        <v>318</v>
      </c>
      <c r="I127" s="2" t="s">
        <v>447</v>
      </c>
      <c r="J127">
        <v>0</v>
      </c>
      <c r="K127">
        <v>0</v>
      </c>
      <c r="L127">
        <v>0</v>
      </c>
      <c r="M127">
        <v>0</v>
      </c>
      <c r="N127" s="5">
        <v>0</v>
      </c>
      <c r="O127">
        <v>0</v>
      </c>
    </row>
    <row r="128" spans="1:15" hidden="1" x14ac:dyDescent="0.25">
      <c r="A128" s="2" t="s">
        <v>1198</v>
      </c>
      <c r="B128" s="3">
        <v>44026</v>
      </c>
      <c r="C128" s="2" t="s">
        <v>1199</v>
      </c>
      <c r="D128" t="s">
        <v>6155</v>
      </c>
      <c r="E128" s="2">
        <v>1</v>
      </c>
      <c r="F128" s="2" t="s">
        <v>1200</v>
      </c>
      <c r="G128" s="4" t="s">
        <v>1201</v>
      </c>
      <c r="H128" s="2" t="s">
        <v>19</v>
      </c>
      <c r="I128" s="2" t="s">
        <v>72</v>
      </c>
      <c r="J128">
        <v>0</v>
      </c>
      <c r="K128">
        <v>0</v>
      </c>
      <c r="L128">
        <v>0</v>
      </c>
      <c r="M128">
        <v>0</v>
      </c>
      <c r="N128" s="5">
        <v>0</v>
      </c>
      <c r="O128">
        <v>0</v>
      </c>
    </row>
    <row r="129" spans="1:15" hidden="1" x14ac:dyDescent="0.25">
      <c r="A129" s="2" t="s">
        <v>1204</v>
      </c>
      <c r="B129" s="3">
        <v>44510</v>
      </c>
      <c r="C129" s="2" t="s">
        <v>1205</v>
      </c>
      <c r="D129" t="s">
        <v>6143</v>
      </c>
      <c r="E129" s="2">
        <v>6</v>
      </c>
      <c r="F129" s="2" t="s">
        <v>1206</v>
      </c>
      <c r="G129" s="4" t="s">
        <v>1207</v>
      </c>
      <c r="H129" s="2" t="s">
        <v>318</v>
      </c>
      <c r="I129" s="2" t="s">
        <v>289</v>
      </c>
      <c r="J129">
        <v>0</v>
      </c>
      <c r="K129">
        <v>0</v>
      </c>
      <c r="L129">
        <v>0</v>
      </c>
      <c r="M129">
        <v>0</v>
      </c>
      <c r="N129" s="5">
        <v>0</v>
      </c>
      <c r="O129">
        <v>0</v>
      </c>
    </row>
    <row r="130" spans="1:15" hidden="1" x14ac:dyDescent="0.25">
      <c r="A130" s="2" t="s">
        <v>1210</v>
      </c>
      <c r="B130" s="3">
        <v>44439</v>
      </c>
      <c r="C130" s="2" t="s">
        <v>1211</v>
      </c>
      <c r="D130" t="s">
        <v>6157</v>
      </c>
      <c r="E130" s="2">
        <v>1</v>
      </c>
      <c r="F130" s="2" t="s">
        <v>1212</v>
      </c>
      <c r="G130" s="4" t="s">
        <v>1213</v>
      </c>
      <c r="H130" s="2" t="s">
        <v>19</v>
      </c>
      <c r="I130" s="2" t="s">
        <v>97</v>
      </c>
      <c r="J130">
        <v>0</v>
      </c>
      <c r="K130">
        <v>0</v>
      </c>
      <c r="L130">
        <v>0</v>
      </c>
      <c r="M130">
        <v>0</v>
      </c>
      <c r="N130" s="5">
        <v>0</v>
      </c>
      <c r="O130">
        <v>0</v>
      </c>
    </row>
    <row r="131" spans="1:15" hidden="1" x14ac:dyDescent="0.25">
      <c r="A131" s="2" t="s">
        <v>1216</v>
      </c>
      <c r="B131" s="3">
        <v>43652</v>
      </c>
      <c r="C131" s="2" t="s">
        <v>1217</v>
      </c>
      <c r="D131" t="s">
        <v>6183</v>
      </c>
      <c r="E131" s="2">
        <v>1</v>
      </c>
      <c r="F131" s="2" t="s">
        <v>1218</v>
      </c>
      <c r="G131" s="4" t="s">
        <v>1219</v>
      </c>
      <c r="H131" s="2" t="s">
        <v>19</v>
      </c>
      <c r="I131" s="2" t="s">
        <v>95</v>
      </c>
      <c r="J131">
        <v>0</v>
      </c>
      <c r="K131">
        <v>0</v>
      </c>
      <c r="L131">
        <v>0</v>
      </c>
      <c r="M131">
        <v>0</v>
      </c>
      <c r="N131" s="5">
        <v>0</v>
      </c>
      <c r="O131">
        <v>0</v>
      </c>
    </row>
    <row r="132" spans="1:15" hidden="1" x14ac:dyDescent="0.25">
      <c r="A132" s="2" t="s">
        <v>1222</v>
      </c>
      <c r="B132" s="3">
        <v>44624</v>
      </c>
      <c r="C132" s="2" t="s">
        <v>1223</v>
      </c>
      <c r="D132" t="s">
        <v>6182</v>
      </c>
      <c r="E132" s="2">
        <v>5</v>
      </c>
      <c r="F132" s="2" t="s">
        <v>1224</v>
      </c>
      <c r="G132" s="4">
        <v>0</v>
      </c>
      <c r="H132" s="2" t="s">
        <v>318</v>
      </c>
      <c r="I132" s="2" t="s">
        <v>432</v>
      </c>
      <c r="J132">
        <v>0</v>
      </c>
      <c r="K132">
        <v>0</v>
      </c>
      <c r="L132">
        <v>0</v>
      </c>
      <c r="M132">
        <v>0</v>
      </c>
      <c r="N132" s="5">
        <v>0</v>
      </c>
      <c r="O132">
        <v>0</v>
      </c>
    </row>
    <row r="133" spans="1:15" hidden="1" x14ac:dyDescent="0.25">
      <c r="A133" s="2" t="s">
        <v>1227</v>
      </c>
      <c r="B133" s="3">
        <v>44196</v>
      </c>
      <c r="C133" s="2" t="s">
        <v>1228</v>
      </c>
      <c r="D133" t="s">
        <v>6144</v>
      </c>
      <c r="E133" s="2">
        <v>2</v>
      </c>
      <c r="F133" s="2" t="s">
        <v>1229</v>
      </c>
      <c r="G133" s="4" t="s">
        <v>1230</v>
      </c>
      <c r="H133" s="2" t="s">
        <v>19</v>
      </c>
      <c r="I133" s="2" t="s">
        <v>35</v>
      </c>
      <c r="J133">
        <v>0</v>
      </c>
      <c r="K133">
        <v>0</v>
      </c>
      <c r="L133">
        <v>0</v>
      </c>
      <c r="M133">
        <v>0</v>
      </c>
      <c r="N133" s="5">
        <v>0</v>
      </c>
      <c r="O133">
        <v>0</v>
      </c>
    </row>
    <row r="134" spans="1:15" hidden="1" x14ac:dyDescent="0.25">
      <c r="A134" s="2" t="s">
        <v>1233</v>
      </c>
      <c r="B134" s="3">
        <v>44043</v>
      </c>
      <c r="C134" s="2" t="s">
        <v>1234</v>
      </c>
      <c r="D134" t="s">
        <v>6182</v>
      </c>
      <c r="E134" s="2">
        <v>5</v>
      </c>
      <c r="F134" s="2" t="s">
        <v>1235</v>
      </c>
      <c r="G134" s="4" t="s">
        <v>1236</v>
      </c>
      <c r="H134" s="2" t="s">
        <v>19</v>
      </c>
      <c r="I134" s="2" t="s">
        <v>223</v>
      </c>
      <c r="J134">
        <v>0</v>
      </c>
      <c r="K134">
        <v>0</v>
      </c>
      <c r="L134">
        <v>0</v>
      </c>
      <c r="M134">
        <v>0</v>
      </c>
      <c r="N134" s="5">
        <v>0</v>
      </c>
      <c r="O134">
        <v>0</v>
      </c>
    </row>
    <row r="135" spans="1:15" hidden="1" x14ac:dyDescent="0.25">
      <c r="A135" s="2" t="s">
        <v>1239</v>
      </c>
      <c r="B135" s="3">
        <v>44340</v>
      </c>
      <c r="C135" s="2" t="s">
        <v>1240</v>
      </c>
      <c r="D135" t="s">
        <v>6143</v>
      </c>
      <c r="E135" s="2">
        <v>1</v>
      </c>
      <c r="F135" s="2" t="s">
        <v>1241</v>
      </c>
      <c r="G135" s="4" t="s">
        <v>1242</v>
      </c>
      <c r="H135" s="2" t="s">
        <v>19</v>
      </c>
      <c r="I135" s="2" t="s">
        <v>178</v>
      </c>
      <c r="J135">
        <v>0</v>
      </c>
      <c r="K135">
        <v>0</v>
      </c>
      <c r="L135">
        <v>0</v>
      </c>
      <c r="M135">
        <v>0</v>
      </c>
      <c r="N135" s="5">
        <v>0</v>
      </c>
      <c r="O135">
        <v>0</v>
      </c>
    </row>
    <row r="136" spans="1:15" hidden="1" x14ac:dyDescent="0.25">
      <c r="A136" s="2" t="s">
        <v>1245</v>
      </c>
      <c r="B136" s="3">
        <v>44758</v>
      </c>
      <c r="C136" s="2" t="s">
        <v>1246</v>
      </c>
      <c r="D136" t="s">
        <v>6166</v>
      </c>
      <c r="E136" s="2">
        <v>3</v>
      </c>
      <c r="F136" s="2" t="s">
        <v>1247</v>
      </c>
      <c r="G136" s="4">
        <v>0</v>
      </c>
      <c r="H136" s="2" t="s">
        <v>19</v>
      </c>
      <c r="I136" s="2" t="s">
        <v>47</v>
      </c>
      <c r="J136">
        <v>0</v>
      </c>
      <c r="K136">
        <v>0</v>
      </c>
      <c r="L136">
        <v>0</v>
      </c>
      <c r="M136">
        <v>0</v>
      </c>
      <c r="N136" s="5">
        <v>0</v>
      </c>
      <c r="O136">
        <v>0</v>
      </c>
    </row>
    <row r="137" spans="1:15" hidden="1" x14ac:dyDescent="0.25">
      <c r="A137" s="2" t="s">
        <v>1249</v>
      </c>
      <c r="B137" s="3">
        <v>44232</v>
      </c>
      <c r="C137" s="2" t="s">
        <v>976</v>
      </c>
      <c r="D137" t="s">
        <v>6180</v>
      </c>
      <c r="E137" s="2">
        <v>5</v>
      </c>
      <c r="F137" s="2" t="s">
        <v>1251</v>
      </c>
      <c r="G137" s="4" t="s">
        <v>1252</v>
      </c>
      <c r="H137" s="2" t="s">
        <v>318</v>
      </c>
      <c r="I137" s="2" t="s">
        <v>476</v>
      </c>
      <c r="J137">
        <v>0</v>
      </c>
      <c r="K137">
        <v>0</v>
      </c>
      <c r="L137">
        <v>0</v>
      </c>
      <c r="M137">
        <v>0</v>
      </c>
      <c r="N137" s="5">
        <v>0</v>
      </c>
      <c r="O137">
        <v>0</v>
      </c>
    </row>
    <row r="138" spans="1:15" hidden="1" x14ac:dyDescent="0.25">
      <c r="A138" s="2" t="s">
        <v>1255</v>
      </c>
      <c r="B138" s="3">
        <v>44406</v>
      </c>
      <c r="C138" s="2" t="s">
        <v>1256</v>
      </c>
      <c r="D138" t="s">
        <v>6154</v>
      </c>
      <c r="E138" s="2">
        <v>4</v>
      </c>
      <c r="F138" s="2" t="s">
        <v>1257</v>
      </c>
      <c r="G138" s="4" t="s">
        <v>1258</v>
      </c>
      <c r="H138" s="2" t="s">
        <v>19</v>
      </c>
      <c r="I138" s="2" t="s">
        <v>104</v>
      </c>
      <c r="J138">
        <v>0</v>
      </c>
      <c r="K138">
        <v>0</v>
      </c>
      <c r="L138">
        <v>0</v>
      </c>
      <c r="M138">
        <v>0</v>
      </c>
      <c r="N138" s="5">
        <v>0</v>
      </c>
      <c r="O138">
        <v>0</v>
      </c>
    </row>
    <row r="139" spans="1:15" hidden="1" x14ac:dyDescent="0.25">
      <c r="A139" s="2" t="s">
        <v>1261</v>
      </c>
      <c r="B139" s="3">
        <v>44637</v>
      </c>
      <c r="C139" s="2" t="s">
        <v>1262</v>
      </c>
      <c r="D139" t="s">
        <v>6148</v>
      </c>
      <c r="E139" s="2">
        <v>3</v>
      </c>
      <c r="F139" s="2" t="s">
        <v>1263</v>
      </c>
      <c r="G139" s="4">
        <v>0</v>
      </c>
      <c r="H139" s="2" t="s">
        <v>318</v>
      </c>
      <c r="I139" s="2" t="s">
        <v>349</v>
      </c>
      <c r="J139">
        <v>0</v>
      </c>
      <c r="K139">
        <v>0</v>
      </c>
      <c r="L139">
        <v>0</v>
      </c>
      <c r="M139">
        <v>0</v>
      </c>
      <c r="N139" s="5">
        <v>0</v>
      </c>
      <c r="O139">
        <v>0</v>
      </c>
    </row>
    <row r="140" spans="1:15" hidden="1" x14ac:dyDescent="0.25">
      <c r="A140" s="2" t="s">
        <v>1266</v>
      </c>
      <c r="B140" s="3">
        <v>44238</v>
      </c>
      <c r="C140" s="2" t="s">
        <v>1267</v>
      </c>
      <c r="D140" t="s">
        <v>6183</v>
      </c>
      <c r="E140" s="2">
        <v>4</v>
      </c>
      <c r="F140" s="2" t="s">
        <v>1268</v>
      </c>
      <c r="G140" s="4">
        <v>0</v>
      </c>
      <c r="H140" s="2" t="s">
        <v>19</v>
      </c>
      <c r="I140" s="2" t="s">
        <v>73</v>
      </c>
      <c r="J140">
        <v>0</v>
      </c>
      <c r="K140">
        <v>0</v>
      </c>
      <c r="L140">
        <v>0</v>
      </c>
      <c r="M140">
        <v>0</v>
      </c>
      <c r="N140" s="5">
        <v>0</v>
      </c>
      <c r="O140">
        <v>0</v>
      </c>
    </row>
    <row r="141" spans="1:15" hidden="1" x14ac:dyDescent="0.25">
      <c r="A141" s="2" t="s">
        <v>1271</v>
      </c>
      <c r="B141" s="3">
        <v>43509</v>
      </c>
      <c r="C141" s="2" t="s">
        <v>1272</v>
      </c>
      <c r="D141" t="s">
        <v>6143</v>
      </c>
      <c r="E141" s="2">
        <v>6</v>
      </c>
      <c r="F141" s="2" t="s">
        <v>1273</v>
      </c>
      <c r="G141" s="4">
        <v>0</v>
      </c>
      <c r="H141" s="2" t="s">
        <v>19</v>
      </c>
      <c r="I141" s="2" t="s">
        <v>153</v>
      </c>
      <c r="J141">
        <v>0</v>
      </c>
      <c r="K141">
        <v>0</v>
      </c>
      <c r="L141">
        <v>0</v>
      </c>
      <c r="M141">
        <v>0</v>
      </c>
      <c r="N141" s="5">
        <v>0</v>
      </c>
      <c r="O141">
        <v>0</v>
      </c>
    </row>
    <row r="142" spans="1:15" hidden="1" x14ac:dyDescent="0.25">
      <c r="A142" s="2" t="s">
        <v>1276</v>
      </c>
      <c r="B142" s="3">
        <v>44694</v>
      </c>
      <c r="C142" s="2" t="s">
        <v>1277</v>
      </c>
      <c r="D142" t="s">
        <v>6165</v>
      </c>
      <c r="E142" s="2">
        <v>1</v>
      </c>
      <c r="F142" s="2" t="s">
        <v>1278</v>
      </c>
      <c r="G142" s="4" t="s">
        <v>1279</v>
      </c>
      <c r="H142" s="2" t="s">
        <v>318</v>
      </c>
      <c r="I142" s="2" t="s">
        <v>1282</v>
      </c>
      <c r="J142">
        <v>0</v>
      </c>
      <c r="K142">
        <v>0</v>
      </c>
      <c r="L142">
        <v>0</v>
      </c>
      <c r="M142">
        <v>0</v>
      </c>
      <c r="N142" s="5">
        <v>0</v>
      </c>
      <c r="O142">
        <v>0</v>
      </c>
    </row>
    <row r="143" spans="1:15" hidden="1" x14ac:dyDescent="0.25">
      <c r="A143" s="2" t="s">
        <v>1283</v>
      </c>
      <c r="B143" s="3">
        <v>43970</v>
      </c>
      <c r="C143" s="2" t="s">
        <v>1284</v>
      </c>
      <c r="D143" t="s">
        <v>6167</v>
      </c>
      <c r="E143" s="2">
        <v>4</v>
      </c>
      <c r="F143" s="2" t="s">
        <v>1285</v>
      </c>
      <c r="G143" s="4" t="s">
        <v>1286</v>
      </c>
      <c r="H143" s="2" t="s">
        <v>19</v>
      </c>
      <c r="I143" s="2" t="s">
        <v>47</v>
      </c>
      <c r="J143">
        <v>0</v>
      </c>
      <c r="K143">
        <v>0</v>
      </c>
      <c r="L143">
        <v>0</v>
      </c>
      <c r="M143">
        <v>0</v>
      </c>
      <c r="N143" s="5">
        <v>0</v>
      </c>
      <c r="O143">
        <v>0</v>
      </c>
    </row>
    <row r="144" spans="1:15" hidden="1" x14ac:dyDescent="0.25">
      <c r="A144" s="2" t="s">
        <v>1289</v>
      </c>
      <c r="B144" s="3">
        <v>44678</v>
      </c>
      <c r="C144" s="2" t="s">
        <v>1290</v>
      </c>
      <c r="D144" t="s">
        <v>6148</v>
      </c>
      <c r="E144" s="2">
        <v>4</v>
      </c>
      <c r="F144" s="2" t="s">
        <v>1291</v>
      </c>
      <c r="G144" s="4">
        <v>0</v>
      </c>
      <c r="H144" s="2" t="s">
        <v>318</v>
      </c>
      <c r="I144" s="2" t="s">
        <v>320</v>
      </c>
      <c r="J144">
        <v>0</v>
      </c>
      <c r="K144">
        <v>0</v>
      </c>
      <c r="L144">
        <v>0</v>
      </c>
      <c r="M144">
        <v>0</v>
      </c>
      <c r="N144" s="5">
        <v>0</v>
      </c>
      <c r="O144">
        <v>0</v>
      </c>
    </row>
    <row r="145" spans="1:15" hidden="1" x14ac:dyDescent="0.25">
      <c r="A145" s="2" t="s">
        <v>1293</v>
      </c>
      <c r="B145" s="3">
        <v>44083</v>
      </c>
      <c r="C145" s="2" t="s">
        <v>1294</v>
      </c>
      <c r="D145" t="s">
        <v>6160</v>
      </c>
      <c r="E145" s="2">
        <v>2</v>
      </c>
      <c r="F145" s="2" t="s">
        <v>1295</v>
      </c>
      <c r="G145" s="4" t="s">
        <v>1296</v>
      </c>
      <c r="H145" s="2" t="s">
        <v>19</v>
      </c>
      <c r="I145" s="2" t="s">
        <v>63</v>
      </c>
      <c r="J145">
        <v>0</v>
      </c>
      <c r="K145">
        <v>0</v>
      </c>
      <c r="L145">
        <v>0</v>
      </c>
      <c r="M145">
        <v>0</v>
      </c>
      <c r="N145" s="5">
        <v>0</v>
      </c>
      <c r="O145">
        <v>0</v>
      </c>
    </row>
    <row r="146" spans="1:15" hidden="1" x14ac:dyDescent="0.25">
      <c r="A146" s="2" t="s">
        <v>1299</v>
      </c>
      <c r="B146" s="3">
        <v>44265</v>
      </c>
      <c r="C146" s="2" t="s">
        <v>1300</v>
      </c>
      <c r="D146" t="s">
        <v>6148</v>
      </c>
      <c r="E146" s="2">
        <v>2</v>
      </c>
      <c r="F146" s="2" t="s">
        <v>1301</v>
      </c>
      <c r="G146" s="4" t="s">
        <v>1302</v>
      </c>
      <c r="H146" s="2" t="s">
        <v>19</v>
      </c>
      <c r="I146" s="2" t="s">
        <v>161</v>
      </c>
      <c r="J146">
        <v>0</v>
      </c>
      <c r="K146">
        <v>0</v>
      </c>
      <c r="L146">
        <v>0</v>
      </c>
      <c r="M146">
        <v>0</v>
      </c>
      <c r="N146" s="5">
        <v>0</v>
      </c>
      <c r="O146">
        <v>0</v>
      </c>
    </row>
    <row r="147" spans="1:15" hidden="1" x14ac:dyDescent="0.25">
      <c r="A147" s="2" t="s">
        <v>1305</v>
      </c>
      <c r="B147" s="3">
        <v>43562</v>
      </c>
      <c r="C147" s="2" t="s">
        <v>1306</v>
      </c>
      <c r="D147" t="s">
        <v>6159</v>
      </c>
      <c r="E147" s="2">
        <v>4</v>
      </c>
      <c r="F147" s="2" t="s">
        <v>1307</v>
      </c>
      <c r="G147" s="4" t="s">
        <v>1308</v>
      </c>
      <c r="H147" s="2" t="s">
        <v>19</v>
      </c>
      <c r="I147" s="2" t="s">
        <v>50</v>
      </c>
      <c r="J147">
        <v>0</v>
      </c>
      <c r="K147">
        <v>0</v>
      </c>
      <c r="L147">
        <v>0</v>
      </c>
      <c r="M147">
        <v>0</v>
      </c>
      <c r="N147" s="5">
        <v>0</v>
      </c>
      <c r="O147">
        <v>0</v>
      </c>
    </row>
    <row r="148" spans="1:15" hidden="1" x14ac:dyDescent="0.25">
      <c r="A148" s="2" t="s">
        <v>1311</v>
      </c>
      <c r="B148" s="3">
        <v>44024</v>
      </c>
      <c r="C148" s="2" t="s">
        <v>1312</v>
      </c>
      <c r="D148" t="s">
        <v>6162</v>
      </c>
      <c r="E148" s="2">
        <v>3</v>
      </c>
      <c r="F148" s="2" t="s">
        <v>1313</v>
      </c>
      <c r="G148" s="4" t="s">
        <v>1314</v>
      </c>
      <c r="H148" s="2" t="s">
        <v>19</v>
      </c>
      <c r="I148" s="2" t="s">
        <v>352</v>
      </c>
      <c r="J148">
        <v>0</v>
      </c>
      <c r="K148">
        <v>0</v>
      </c>
      <c r="L148">
        <v>0</v>
      </c>
      <c r="M148">
        <v>0</v>
      </c>
      <c r="N148" s="5">
        <v>0</v>
      </c>
      <c r="O148">
        <v>0</v>
      </c>
    </row>
    <row r="149" spans="1:15" hidden="1" x14ac:dyDescent="0.25">
      <c r="A149" s="2" t="s">
        <v>1311</v>
      </c>
      <c r="B149" s="3">
        <v>44024</v>
      </c>
      <c r="C149" s="2" t="s">
        <v>1312</v>
      </c>
      <c r="D149" t="s">
        <v>6141</v>
      </c>
      <c r="E149" s="2">
        <v>2</v>
      </c>
      <c r="F149" s="2" t="s">
        <v>1318</v>
      </c>
      <c r="G149" s="4" t="s">
        <v>1319</v>
      </c>
      <c r="H149" s="2" t="s">
        <v>19</v>
      </c>
      <c r="I149" s="2" t="s">
        <v>106</v>
      </c>
      <c r="J149">
        <v>0</v>
      </c>
      <c r="K149">
        <v>0</v>
      </c>
      <c r="L149">
        <v>0</v>
      </c>
      <c r="M149">
        <v>0</v>
      </c>
      <c r="N149" s="5">
        <v>0</v>
      </c>
      <c r="O149">
        <v>0</v>
      </c>
    </row>
    <row r="150" spans="1:15" hidden="1" x14ac:dyDescent="0.25">
      <c r="A150" s="2" t="s">
        <v>1322</v>
      </c>
      <c r="B150" s="3">
        <v>44551</v>
      </c>
      <c r="C150" s="2" t="s">
        <v>1323</v>
      </c>
      <c r="D150" t="s">
        <v>6153</v>
      </c>
      <c r="E150" s="2">
        <v>5</v>
      </c>
      <c r="F150" s="2" t="s">
        <v>1324</v>
      </c>
      <c r="G150" s="4" t="s">
        <v>1325</v>
      </c>
      <c r="H150" s="2" t="s">
        <v>19</v>
      </c>
      <c r="I150" s="2" t="s">
        <v>138</v>
      </c>
      <c r="J150">
        <v>0</v>
      </c>
      <c r="K150">
        <v>0</v>
      </c>
      <c r="L150">
        <v>0</v>
      </c>
      <c r="M150">
        <v>0</v>
      </c>
      <c r="N150" s="5">
        <v>0</v>
      </c>
      <c r="O150">
        <v>0</v>
      </c>
    </row>
    <row r="151" spans="1:15" hidden="1" x14ac:dyDescent="0.25">
      <c r="A151" s="2" t="s">
        <v>1328</v>
      </c>
      <c r="B151" s="3">
        <v>44108</v>
      </c>
      <c r="C151" s="2" t="s">
        <v>1329</v>
      </c>
      <c r="D151" t="s">
        <v>6175</v>
      </c>
      <c r="E151" s="2">
        <v>2</v>
      </c>
      <c r="F151" s="2" t="s">
        <v>1330</v>
      </c>
      <c r="G151" s="4">
        <v>0</v>
      </c>
      <c r="H151" s="2" t="s">
        <v>19</v>
      </c>
      <c r="I151" s="2" t="s">
        <v>197</v>
      </c>
      <c r="J151">
        <v>0</v>
      </c>
      <c r="K151">
        <v>0</v>
      </c>
      <c r="L151">
        <v>0</v>
      </c>
      <c r="M151">
        <v>0</v>
      </c>
      <c r="N151" s="5">
        <v>0</v>
      </c>
      <c r="O151">
        <v>0</v>
      </c>
    </row>
    <row r="152" spans="1:15" hidden="1" x14ac:dyDescent="0.25">
      <c r="A152" s="2" t="s">
        <v>1333</v>
      </c>
      <c r="B152" s="3">
        <v>44051</v>
      </c>
      <c r="C152" s="2" t="s">
        <v>1334</v>
      </c>
      <c r="D152" t="s">
        <v>6143</v>
      </c>
      <c r="E152" s="2">
        <v>1</v>
      </c>
      <c r="F152" s="2" t="s">
        <v>1335</v>
      </c>
      <c r="G152" s="4" t="s">
        <v>1336</v>
      </c>
      <c r="H152" s="2" t="s">
        <v>19</v>
      </c>
      <c r="I152" s="2" t="s">
        <v>24</v>
      </c>
      <c r="J152">
        <v>0</v>
      </c>
      <c r="K152">
        <v>0</v>
      </c>
      <c r="L152">
        <v>0</v>
      </c>
      <c r="M152">
        <v>0</v>
      </c>
      <c r="N152" s="5">
        <v>0</v>
      </c>
      <c r="O152">
        <v>0</v>
      </c>
    </row>
    <row r="153" spans="1:15" hidden="1" x14ac:dyDescent="0.25">
      <c r="A153" s="2" t="s">
        <v>1339</v>
      </c>
      <c r="B153" s="3">
        <v>44115</v>
      </c>
      <c r="C153" s="2" t="s">
        <v>1340</v>
      </c>
      <c r="D153" t="s">
        <v>6155</v>
      </c>
      <c r="E153" s="2">
        <v>3</v>
      </c>
      <c r="F153" s="2" t="s">
        <v>1341</v>
      </c>
      <c r="G153" s="4">
        <v>0</v>
      </c>
      <c r="H153" s="2" t="s">
        <v>19</v>
      </c>
      <c r="I153" s="2" t="s">
        <v>169</v>
      </c>
      <c r="J153">
        <v>0</v>
      </c>
      <c r="K153">
        <v>0</v>
      </c>
      <c r="L153">
        <v>0</v>
      </c>
      <c r="M153">
        <v>0</v>
      </c>
      <c r="N153" s="5">
        <v>0</v>
      </c>
      <c r="O153">
        <v>0</v>
      </c>
    </row>
    <row r="154" spans="1:15" hidden="1" x14ac:dyDescent="0.25">
      <c r="A154" s="2" t="s">
        <v>1344</v>
      </c>
      <c r="B154" s="3">
        <v>44510</v>
      </c>
      <c r="C154" s="2" t="s">
        <v>1345</v>
      </c>
      <c r="D154" t="s">
        <v>6151</v>
      </c>
      <c r="E154" s="2">
        <v>3</v>
      </c>
      <c r="F154" s="2" t="s">
        <v>1346</v>
      </c>
      <c r="G154" s="4" t="s">
        <v>1347</v>
      </c>
      <c r="H154" s="2" t="s">
        <v>19</v>
      </c>
      <c r="I154" s="2" t="s">
        <v>73</v>
      </c>
      <c r="J154">
        <v>0</v>
      </c>
      <c r="K154">
        <v>0</v>
      </c>
      <c r="L154">
        <v>0</v>
      </c>
      <c r="M154">
        <v>0</v>
      </c>
      <c r="N154" s="5">
        <v>0</v>
      </c>
      <c r="O154">
        <v>0</v>
      </c>
    </row>
    <row r="155" spans="1:15" hidden="1" x14ac:dyDescent="0.25">
      <c r="A155" s="2" t="s">
        <v>1350</v>
      </c>
      <c r="B155" s="3">
        <v>44367</v>
      </c>
      <c r="C155" s="2" t="s">
        <v>1351</v>
      </c>
      <c r="D155" t="s">
        <v>6163</v>
      </c>
      <c r="E155" s="2">
        <v>1</v>
      </c>
      <c r="F155" s="2" t="s">
        <v>1352</v>
      </c>
      <c r="G155" s="4">
        <v>0</v>
      </c>
      <c r="H155" s="2" t="s">
        <v>19</v>
      </c>
      <c r="I155" s="2" t="s">
        <v>271</v>
      </c>
      <c r="J155">
        <v>0</v>
      </c>
      <c r="K155">
        <v>0</v>
      </c>
      <c r="L155">
        <v>0</v>
      </c>
      <c r="M155">
        <v>0</v>
      </c>
      <c r="N155" s="5">
        <v>0</v>
      </c>
      <c r="O155">
        <v>0</v>
      </c>
    </row>
    <row r="156" spans="1:15" hidden="1" x14ac:dyDescent="0.25">
      <c r="A156" s="2" t="s">
        <v>1355</v>
      </c>
      <c r="B156" s="3">
        <v>44473</v>
      </c>
      <c r="C156" s="2" t="s">
        <v>1356</v>
      </c>
      <c r="D156" t="s">
        <v>6168</v>
      </c>
      <c r="E156" s="2">
        <v>5</v>
      </c>
      <c r="F156" s="2" t="s">
        <v>1357</v>
      </c>
      <c r="G156" s="4" t="s">
        <v>1358</v>
      </c>
      <c r="H156" s="2" t="s">
        <v>19</v>
      </c>
      <c r="I156" s="2" t="s">
        <v>46</v>
      </c>
      <c r="J156">
        <v>0</v>
      </c>
      <c r="K156">
        <v>0</v>
      </c>
      <c r="L156">
        <v>0</v>
      </c>
      <c r="M156">
        <v>0</v>
      </c>
      <c r="N156" s="5">
        <v>0</v>
      </c>
      <c r="O156">
        <v>0</v>
      </c>
    </row>
    <row r="157" spans="1:15" hidden="1" x14ac:dyDescent="0.25">
      <c r="A157" s="2" t="s">
        <v>1361</v>
      </c>
      <c r="B157" s="3">
        <v>43640</v>
      </c>
      <c r="C157" s="2" t="s">
        <v>1362</v>
      </c>
      <c r="D157" t="s">
        <v>6175</v>
      </c>
      <c r="E157" s="2">
        <v>6</v>
      </c>
      <c r="F157" s="2" t="s">
        <v>1363</v>
      </c>
      <c r="G157" s="4" t="s">
        <v>1364</v>
      </c>
      <c r="H157" s="2" t="s">
        <v>19</v>
      </c>
      <c r="I157" s="2" t="s">
        <v>124</v>
      </c>
      <c r="J157">
        <v>0</v>
      </c>
      <c r="K157">
        <v>0</v>
      </c>
      <c r="L157">
        <v>0</v>
      </c>
      <c r="M157">
        <v>0</v>
      </c>
      <c r="N157" s="5">
        <v>0</v>
      </c>
      <c r="O157">
        <v>0</v>
      </c>
    </row>
    <row r="158" spans="1:15" hidden="1" x14ac:dyDescent="0.25">
      <c r="A158" s="2" t="s">
        <v>1367</v>
      </c>
      <c r="B158" s="3">
        <v>43764</v>
      </c>
      <c r="C158" s="2" t="s">
        <v>1368</v>
      </c>
      <c r="D158" t="s">
        <v>6175</v>
      </c>
      <c r="E158" s="2">
        <v>3</v>
      </c>
      <c r="F158" s="2" t="s">
        <v>1369</v>
      </c>
      <c r="G158" s="4" t="s">
        <v>1370</v>
      </c>
      <c r="H158" s="2" t="s">
        <v>19</v>
      </c>
      <c r="I158" s="2" t="s">
        <v>59</v>
      </c>
      <c r="J158">
        <v>0</v>
      </c>
      <c r="K158">
        <v>0</v>
      </c>
      <c r="L158">
        <v>0</v>
      </c>
      <c r="M158">
        <v>0</v>
      </c>
      <c r="N158" s="5">
        <v>0</v>
      </c>
      <c r="O158">
        <v>0</v>
      </c>
    </row>
    <row r="159" spans="1:15" hidden="1" x14ac:dyDescent="0.25">
      <c r="A159" s="2" t="s">
        <v>1373</v>
      </c>
      <c r="B159" s="3">
        <v>44374</v>
      </c>
      <c r="C159" s="2" t="s">
        <v>1374</v>
      </c>
      <c r="D159" t="s">
        <v>6149</v>
      </c>
      <c r="E159" s="2">
        <v>3</v>
      </c>
      <c r="F159" s="2" t="s">
        <v>1375</v>
      </c>
      <c r="G159" s="4" t="s">
        <v>1376</v>
      </c>
      <c r="H159" s="2" t="s">
        <v>318</v>
      </c>
      <c r="I159" s="2" t="s">
        <v>360</v>
      </c>
      <c r="J159">
        <v>0</v>
      </c>
      <c r="K159">
        <v>0</v>
      </c>
      <c r="L159">
        <v>0</v>
      </c>
      <c r="M159">
        <v>0</v>
      </c>
      <c r="N159" s="5">
        <v>0</v>
      </c>
      <c r="O159">
        <v>0</v>
      </c>
    </row>
    <row r="160" spans="1:15" hidden="1" x14ac:dyDescent="0.25">
      <c r="A160" s="2" t="s">
        <v>1379</v>
      </c>
      <c r="B160" s="3">
        <v>43714</v>
      </c>
      <c r="C160" s="2" t="s">
        <v>1380</v>
      </c>
      <c r="D160" t="s">
        <v>6149</v>
      </c>
      <c r="E160" s="2">
        <v>6</v>
      </c>
      <c r="F160" s="2" t="s">
        <v>1381</v>
      </c>
      <c r="G160" s="4">
        <v>0</v>
      </c>
      <c r="H160" s="2" t="s">
        <v>19</v>
      </c>
      <c r="I160" s="2" t="s">
        <v>65</v>
      </c>
      <c r="J160">
        <v>0</v>
      </c>
      <c r="K160">
        <v>0</v>
      </c>
      <c r="L160">
        <v>0</v>
      </c>
      <c r="M160">
        <v>0</v>
      </c>
      <c r="N160" s="5">
        <v>0</v>
      </c>
      <c r="O160">
        <v>0</v>
      </c>
    </row>
    <row r="161" spans="1:15" hidden="1" x14ac:dyDescent="0.25">
      <c r="A161" s="2" t="s">
        <v>1384</v>
      </c>
      <c r="B161" s="3">
        <v>44316</v>
      </c>
      <c r="C161" s="2" t="s">
        <v>1385</v>
      </c>
      <c r="D161" t="s">
        <v>6164</v>
      </c>
      <c r="E161" s="2">
        <v>6</v>
      </c>
      <c r="F161" s="2" t="s">
        <v>1386</v>
      </c>
      <c r="G161" s="4">
        <v>0</v>
      </c>
      <c r="H161" s="2" t="s">
        <v>19</v>
      </c>
      <c r="I161" s="2" t="s">
        <v>189</v>
      </c>
      <c r="J161">
        <v>0</v>
      </c>
      <c r="K161">
        <v>0</v>
      </c>
      <c r="L161">
        <v>0</v>
      </c>
      <c r="M161">
        <v>0</v>
      </c>
      <c r="N161" s="5">
        <v>0</v>
      </c>
      <c r="O161">
        <v>0</v>
      </c>
    </row>
    <row r="162" spans="1:15" hidden="1" x14ac:dyDescent="0.25">
      <c r="A162" s="2" t="s">
        <v>1389</v>
      </c>
      <c r="B162" s="3">
        <v>43837</v>
      </c>
      <c r="C162" s="2" t="s">
        <v>1390</v>
      </c>
      <c r="D162" t="s">
        <v>6139</v>
      </c>
      <c r="E162" s="2">
        <v>4</v>
      </c>
      <c r="F162" s="2" t="s">
        <v>1391</v>
      </c>
      <c r="G162" s="4" t="s">
        <v>1392</v>
      </c>
      <c r="H162" s="2" t="s">
        <v>19</v>
      </c>
      <c r="I162" s="2" t="s">
        <v>77</v>
      </c>
      <c r="J162">
        <v>0</v>
      </c>
      <c r="K162">
        <v>0</v>
      </c>
      <c r="L162">
        <v>0</v>
      </c>
      <c r="M162">
        <v>0</v>
      </c>
      <c r="N162" s="5">
        <v>0</v>
      </c>
      <c r="O162">
        <v>0</v>
      </c>
    </row>
    <row r="163" spans="1:15" hidden="1" x14ac:dyDescent="0.25">
      <c r="A163" s="2" t="s">
        <v>1395</v>
      </c>
      <c r="B163" s="3">
        <v>44207</v>
      </c>
      <c r="C163" s="2" t="s">
        <v>1396</v>
      </c>
      <c r="D163" t="s">
        <v>6180</v>
      </c>
      <c r="E163" s="2">
        <v>3</v>
      </c>
      <c r="F163" s="2" t="s">
        <v>1397</v>
      </c>
      <c r="G163" s="4" t="s">
        <v>1398</v>
      </c>
      <c r="H163" s="2" t="s">
        <v>19</v>
      </c>
      <c r="I163" s="2" t="s">
        <v>47</v>
      </c>
      <c r="J163">
        <v>0</v>
      </c>
      <c r="K163">
        <v>0</v>
      </c>
      <c r="L163">
        <v>0</v>
      </c>
      <c r="M163">
        <v>0</v>
      </c>
      <c r="N163" s="5">
        <v>0</v>
      </c>
      <c r="O163">
        <v>0</v>
      </c>
    </row>
    <row r="164" spans="1:15" hidden="1" x14ac:dyDescent="0.25">
      <c r="A164" s="2" t="s">
        <v>1401</v>
      </c>
      <c r="B164" s="3">
        <v>44515</v>
      </c>
      <c r="C164" s="2" t="s">
        <v>1402</v>
      </c>
      <c r="D164" t="s">
        <v>6144</v>
      </c>
      <c r="E164" s="2">
        <v>3</v>
      </c>
      <c r="F164" s="2" t="s">
        <v>1403</v>
      </c>
      <c r="G164" s="4" t="s">
        <v>1404</v>
      </c>
      <c r="H164" s="2" t="s">
        <v>19</v>
      </c>
      <c r="I164" s="2" t="s">
        <v>82</v>
      </c>
      <c r="J164">
        <v>0</v>
      </c>
      <c r="K164">
        <v>0</v>
      </c>
      <c r="L164">
        <v>0</v>
      </c>
      <c r="M164">
        <v>0</v>
      </c>
      <c r="N164" s="5">
        <v>0</v>
      </c>
      <c r="O164">
        <v>0</v>
      </c>
    </row>
    <row r="165" spans="1:15" hidden="1" x14ac:dyDescent="0.25">
      <c r="A165" s="2" t="s">
        <v>1407</v>
      </c>
      <c r="B165" s="3">
        <v>43619</v>
      </c>
      <c r="C165" s="2" t="s">
        <v>1408</v>
      </c>
      <c r="D165" t="s">
        <v>6163</v>
      </c>
      <c r="E165" s="2">
        <v>6</v>
      </c>
      <c r="F165" s="2" t="s">
        <v>1409</v>
      </c>
      <c r="G165" s="4" t="s">
        <v>1410</v>
      </c>
      <c r="H165" s="2" t="s">
        <v>19</v>
      </c>
      <c r="I165" s="2" t="s">
        <v>164</v>
      </c>
      <c r="J165">
        <v>0</v>
      </c>
      <c r="K165">
        <v>0</v>
      </c>
      <c r="L165">
        <v>0</v>
      </c>
      <c r="M165">
        <v>0</v>
      </c>
      <c r="N165" s="5">
        <v>0</v>
      </c>
      <c r="O165">
        <v>0</v>
      </c>
    </row>
    <row r="166" spans="1:15" hidden="1" x14ac:dyDescent="0.25">
      <c r="A166" s="2" t="s">
        <v>1413</v>
      </c>
      <c r="B166" s="3">
        <v>44182</v>
      </c>
      <c r="C166" s="2" t="s">
        <v>1414</v>
      </c>
      <c r="D166" t="s">
        <v>6144</v>
      </c>
      <c r="E166" s="2">
        <v>4</v>
      </c>
      <c r="F166" s="2" t="s">
        <v>1415</v>
      </c>
      <c r="G166" s="4" t="s">
        <v>1416</v>
      </c>
      <c r="H166" s="2" t="s">
        <v>318</v>
      </c>
      <c r="I166" s="2" t="s">
        <v>1419</v>
      </c>
      <c r="J166">
        <v>0</v>
      </c>
      <c r="K166">
        <v>0</v>
      </c>
      <c r="L166">
        <v>0</v>
      </c>
      <c r="M166">
        <v>0</v>
      </c>
      <c r="N166" s="5">
        <v>0</v>
      </c>
      <c r="O166">
        <v>0</v>
      </c>
    </row>
    <row r="167" spans="1:15" hidden="1" x14ac:dyDescent="0.25">
      <c r="A167" s="2" t="s">
        <v>1420</v>
      </c>
      <c r="B167" s="3">
        <v>44234</v>
      </c>
      <c r="C167" s="2" t="s">
        <v>1421</v>
      </c>
      <c r="D167" t="s">
        <v>6177</v>
      </c>
      <c r="E167" s="2">
        <v>6</v>
      </c>
      <c r="F167" s="2" t="s">
        <v>1422</v>
      </c>
      <c r="G167" s="4">
        <v>0</v>
      </c>
      <c r="H167" s="2" t="s">
        <v>19</v>
      </c>
      <c r="I167" s="2" t="s">
        <v>163</v>
      </c>
      <c r="J167">
        <v>0</v>
      </c>
      <c r="K167">
        <v>0</v>
      </c>
      <c r="L167">
        <v>0</v>
      </c>
      <c r="M167">
        <v>0</v>
      </c>
      <c r="N167" s="5">
        <v>0</v>
      </c>
      <c r="O167">
        <v>0</v>
      </c>
    </row>
    <row r="168" spans="1:15" hidden="1" x14ac:dyDescent="0.25">
      <c r="A168" s="2" t="s">
        <v>1425</v>
      </c>
      <c r="B168" s="3">
        <v>44270</v>
      </c>
      <c r="C168" s="2" t="s">
        <v>1426</v>
      </c>
      <c r="D168" t="s">
        <v>6172</v>
      </c>
      <c r="E168" s="2">
        <v>5</v>
      </c>
      <c r="F168" s="2" t="s">
        <v>1427</v>
      </c>
      <c r="G168" s="4">
        <v>0</v>
      </c>
      <c r="H168" s="2" t="s">
        <v>19</v>
      </c>
      <c r="I168" s="2" t="s">
        <v>209</v>
      </c>
      <c r="J168">
        <v>0</v>
      </c>
      <c r="K168">
        <v>0</v>
      </c>
      <c r="L168">
        <v>0</v>
      </c>
      <c r="M168">
        <v>0</v>
      </c>
      <c r="N168" s="5">
        <v>0</v>
      </c>
      <c r="O168">
        <v>0</v>
      </c>
    </row>
    <row r="169" spans="1:15" hidden="1" x14ac:dyDescent="0.25">
      <c r="A169" s="2" t="s">
        <v>1430</v>
      </c>
      <c r="B169" s="3">
        <v>44777</v>
      </c>
      <c r="C169" s="2" t="s">
        <v>1431</v>
      </c>
      <c r="D169" t="s">
        <v>6139</v>
      </c>
      <c r="E169" s="2">
        <v>5</v>
      </c>
      <c r="F169" s="2" t="s">
        <v>1432</v>
      </c>
      <c r="G169" s="4" t="s">
        <v>1433</v>
      </c>
      <c r="H169" s="2" t="s">
        <v>19</v>
      </c>
      <c r="I169" s="2" t="s">
        <v>163</v>
      </c>
      <c r="J169">
        <v>0</v>
      </c>
      <c r="K169">
        <v>0</v>
      </c>
      <c r="L169">
        <v>0</v>
      </c>
      <c r="M169">
        <v>0</v>
      </c>
      <c r="N169" s="5">
        <v>0</v>
      </c>
      <c r="O169">
        <v>0</v>
      </c>
    </row>
    <row r="170" spans="1:15" hidden="1" x14ac:dyDescent="0.25">
      <c r="A170" s="2" t="s">
        <v>1436</v>
      </c>
      <c r="B170" s="3">
        <v>43484</v>
      </c>
      <c r="C170" s="2" t="s">
        <v>1437</v>
      </c>
      <c r="D170" t="s">
        <v>6157</v>
      </c>
      <c r="E170" s="2">
        <v>6</v>
      </c>
      <c r="F170" s="2" t="s">
        <v>1438</v>
      </c>
      <c r="G170" s="4">
        <v>0</v>
      </c>
      <c r="H170" s="2" t="s">
        <v>318</v>
      </c>
      <c r="I170" s="2" t="s">
        <v>1419</v>
      </c>
      <c r="J170">
        <v>0</v>
      </c>
      <c r="K170">
        <v>0</v>
      </c>
      <c r="L170">
        <v>0</v>
      </c>
      <c r="M170">
        <v>0</v>
      </c>
      <c r="N170" s="5">
        <v>0</v>
      </c>
      <c r="O170">
        <v>0</v>
      </c>
    </row>
    <row r="171" spans="1:15" hidden="1" x14ac:dyDescent="0.25">
      <c r="A171" s="2" t="s">
        <v>1441</v>
      </c>
      <c r="B171" s="3">
        <v>44643</v>
      </c>
      <c r="C171" s="2" t="s">
        <v>1442</v>
      </c>
      <c r="D171" t="s">
        <v>6177</v>
      </c>
      <c r="E171" s="2">
        <v>2</v>
      </c>
      <c r="F171" s="2" t="s">
        <v>1443</v>
      </c>
      <c r="G171" s="4" t="s">
        <v>1444</v>
      </c>
      <c r="H171" s="2" t="s">
        <v>318</v>
      </c>
      <c r="I171" s="2" t="s">
        <v>1447</v>
      </c>
      <c r="J171">
        <v>0</v>
      </c>
      <c r="K171">
        <v>0</v>
      </c>
      <c r="L171">
        <v>0</v>
      </c>
      <c r="M171">
        <v>0</v>
      </c>
      <c r="N171" s="5">
        <v>0</v>
      </c>
      <c r="O171">
        <v>0</v>
      </c>
    </row>
    <row r="172" spans="1:15" hidden="1" x14ac:dyDescent="0.25">
      <c r="A172" s="2" t="s">
        <v>1448</v>
      </c>
      <c r="B172" s="3">
        <v>44476</v>
      </c>
      <c r="C172" s="2" t="s">
        <v>1449</v>
      </c>
      <c r="D172" t="s">
        <v>6148</v>
      </c>
      <c r="E172" s="2">
        <v>2</v>
      </c>
      <c r="F172" s="2" t="s">
        <v>1450</v>
      </c>
      <c r="G172" s="4" t="s">
        <v>1451</v>
      </c>
      <c r="H172" s="2" t="s">
        <v>28</v>
      </c>
      <c r="I172" s="2" t="s">
        <v>102</v>
      </c>
      <c r="J172">
        <v>0</v>
      </c>
      <c r="K172">
        <v>0</v>
      </c>
      <c r="L172">
        <v>0</v>
      </c>
      <c r="M172">
        <v>0</v>
      </c>
      <c r="N172" s="5">
        <v>0</v>
      </c>
      <c r="O172">
        <v>0</v>
      </c>
    </row>
    <row r="173" spans="1:15" hidden="1" x14ac:dyDescent="0.25">
      <c r="A173" s="2" t="s">
        <v>1453</v>
      </c>
      <c r="B173" s="3">
        <v>43544</v>
      </c>
      <c r="C173" s="2" t="s">
        <v>1454</v>
      </c>
      <c r="D173" t="s">
        <v>6166</v>
      </c>
      <c r="E173" s="2">
        <v>2</v>
      </c>
      <c r="F173" s="2" t="s">
        <v>1455</v>
      </c>
      <c r="G173" s="4" t="s">
        <v>1456</v>
      </c>
      <c r="H173" s="2" t="s">
        <v>19</v>
      </c>
      <c r="I173" s="2" t="s">
        <v>137</v>
      </c>
      <c r="J173">
        <v>0</v>
      </c>
      <c r="K173">
        <v>0</v>
      </c>
      <c r="L173">
        <v>0</v>
      </c>
      <c r="M173">
        <v>0</v>
      </c>
      <c r="N173" s="5">
        <v>0</v>
      </c>
      <c r="O173">
        <v>0</v>
      </c>
    </row>
    <row r="174" spans="1:15" hidden="1" x14ac:dyDescent="0.25">
      <c r="A174" s="2" t="s">
        <v>1459</v>
      </c>
      <c r="B174" s="3">
        <v>44545</v>
      </c>
      <c r="C174" s="2" t="s">
        <v>1460</v>
      </c>
      <c r="D174" t="s">
        <v>6144</v>
      </c>
      <c r="E174" s="2">
        <v>3</v>
      </c>
      <c r="F174" s="2" t="s">
        <v>1461</v>
      </c>
      <c r="G174" s="4" t="s">
        <v>1462</v>
      </c>
      <c r="H174" s="2" t="s">
        <v>318</v>
      </c>
      <c r="I174" s="2" t="s">
        <v>440</v>
      </c>
      <c r="J174">
        <v>0</v>
      </c>
      <c r="K174">
        <v>0</v>
      </c>
      <c r="L174">
        <v>0</v>
      </c>
      <c r="M174">
        <v>0</v>
      </c>
      <c r="N174" s="5">
        <v>0</v>
      </c>
      <c r="O174">
        <v>0</v>
      </c>
    </row>
    <row r="175" spans="1:15" hidden="1" x14ac:dyDescent="0.25">
      <c r="A175" s="2" t="s">
        <v>1464</v>
      </c>
      <c r="B175" s="3">
        <v>44720</v>
      </c>
      <c r="C175" s="2" t="s">
        <v>1465</v>
      </c>
      <c r="D175" t="s">
        <v>6151</v>
      </c>
      <c r="E175" s="2">
        <v>4</v>
      </c>
      <c r="F175" s="2" t="s">
        <v>1466</v>
      </c>
      <c r="G175" s="4" t="s">
        <v>1467</v>
      </c>
      <c r="H175" s="2" t="s">
        <v>19</v>
      </c>
      <c r="I175" s="2" t="s">
        <v>187</v>
      </c>
      <c r="J175">
        <v>0</v>
      </c>
      <c r="K175">
        <v>0</v>
      </c>
      <c r="L175">
        <v>0</v>
      </c>
      <c r="M175">
        <v>0</v>
      </c>
      <c r="N175" s="5">
        <v>0</v>
      </c>
      <c r="O175">
        <v>0</v>
      </c>
    </row>
    <row r="176" spans="1:15" hidden="1" x14ac:dyDescent="0.25">
      <c r="A176" s="2" t="s">
        <v>1470</v>
      </c>
      <c r="B176" s="3">
        <v>43813</v>
      </c>
      <c r="C176" s="2" t="s">
        <v>1471</v>
      </c>
      <c r="D176" t="s">
        <v>6148</v>
      </c>
      <c r="E176" s="2">
        <v>6</v>
      </c>
      <c r="F176" s="2" t="s">
        <v>1472</v>
      </c>
      <c r="G176" s="4">
        <v>0</v>
      </c>
      <c r="H176" s="2" t="s">
        <v>19</v>
      </c>
      <c r="I176" s="2" t="s">
        <v>351</v>
      </c>
      <c r="J176">
        <v>0</v>
      </c>
      <c r="K176">
        <v>0</v>
      </c>
      <c r="L176">
        <v>0</v>
      </c>
      <c r="M176">
        <v>0</v>
      </c>
      <c r="N176" s="5">
        <v>0</v>
      </c>
      <c r="O176">
        <v>0</v>
      </c>
    </row>
    <row r="177" spans="1:15" hidden="1" x14ac:dyDescent="0.25">
      <c r="A177" s="2" t="s">
        <v>1475</v>
      </c>
      <c r="B177" s="3">
        <v>44296</v>
      </c>
      <c r="C177" s="2" t="s">
        <v>1476</v>
      </c>
      <c r="D177" t="s">
        <v>6166</v>
      </c>
      <c r="E177" s="2">
        <v>2</v>
      </c>
      <c r="F177" s="2" t="s">
        <v>1477</v>
      </c>
      <c r="G177" s="4" t="s">
        <v>1478</v>
      </c>
      <c r="H177" s="2" t="s">
        <v>19</v>
      </c>
      <c r="I177" s="2" t="s">
        <v>167</v>
      </c>
      <c r="J177">
        <v>0</v>
      </c>
      <c r="K177">
        <v>0</v>
      </c>
      <c r="L177">
        <v>0</v>
      </c>
      <c r="M177">
        <v>0</v>
      </c>
      <c r="N177" s="5">
        <v>0</v>
      </c>
      <c r="O177">
        <v>0</v>
      </c>
    </row>
    <row r="178" spans="1:15" hidden="1" x14ac:dyDescent="0.25">
      <c r="A178" s="2" t="s">
        <v>1481</v>
      </c>
      <c r="B178" s="3">
        <v>43900</v>
      </c>
      <c r="C178" s="2" t="s">
        <v>1482</v>
      </c>
      <c r="D178" t="s">
        <v>6148</v>
      </c>
      <c r="E178" s="2">
        <v>1</v>
      </c>
      <c r="F178" s="2" t="s">
        <v>1483</v>
      </c>
      <c r="G178" s="4" t="s">
        <v>1484</v>
      </c>
      <c r="H178" s="2" t="s">
        <v>19</v>
      </c>
      <c r="I178" s="2" t="s">
        <v>146</v>
      </c>
      <c r="J178">
        <v>0</v>
      </c>
      <c r="K178">
        <v>0</v>
      </c>
      <c r="L178">
        <v>0</v>
      </c>
      <c r="M178">
        <v>0</v>
      </c>
      <c r="N178" s="5">
        <v>0</v>
      </c>
      <c r="O178">
        <v>0</v>
      </c>
    </row>
    <row r="179" spans="1:15" hidden="1" x14ac:dyDescent="0.25">
      <c r="A179" s="2" t="s">
        <v>1487</v>
      </c>
      <c r="B179" s="3">
        <v>44120</v>
      </c>
      <c r="C179" s="2" t="s">
        <v>1488</v>
      </c>
      <c r="D179" t="s">
        <v>6142</v>
      </c>
      <c r="E179" s="2">
        <v>4</v>
      </c>
      <c r="F179" s="2" t="s">
        <v>1489</v>
      </c>
      <c r="G179" s="4" t="s">
        <v>1490</v>
      </c>
      <c r="H179" s="2" t="s">
        <v>19</v>
      </c>
      <c r="I179" s="2" t="s">
        <v>193</v>
      </c>
      <c r="J179">
        <v>0</v>
      </c>
      <c r="K179">
        <v>0</v>
      </c>
      <c r="L179">
        <v>0</v>
      </c>
      <c r="M179">
        <v>0</v>
      </c>
      <c r="N179" s="5">
        <v>0</v>
      </c>
      <c r="O179">
        <v>0</v>
      </c>
    </row>
    <row r="180" spans="1:15" hidden="1" x14ac:dyDescent="0.25">
      <c r="A180" s="2" t="s">
        <v>1492</v>
      </c>
      <c r="B180" s="3">
        <v>43746</v>
      </c>
      <c r="C180" s="2" t="s">
        <v>1493</v>
      </c>
      <c r="D180" t="s">
        <v>6140</v>
      </c>
      <c r="E180" s="2">
        <v>2</v>
      </c>
      <c r="F180" s="2" t="s">
        <v>1494</v>
      </c>
      <c r="G180" s="4" t="s">
        <v>1495</v>
      </c>
      <c r="H180" s="2" t="s">
        <v>19</v>
      </c>
      <c r="I180" s="2" t="s">
        <v>219</v>
      </c>
      <c r="J180">
        <v>0</v>
      </c>
      <c r="K180">
        <v>0</v>
      </c>
      <c r="L180">
        <v>0</v>
      </c>
      <c r="M180">
        <v>0</v>
      </c>
      <c r="N180" s="5">
        <v>0</v>
      </c>
      <c r="O180">
        <v>0</v>
      </c>
    </row>
    <row r="181" spans="1:15" hidden="1" x14ac:dyDescent="0.25">
      <c r="A181" s="2" t="s">
        <v>1498</v>
      </c>
      <c r="B181" s="3">
        <v>43830</v>
      </c>
      <c r="C181" s="2" t="s">
        <v>1499</v>
      </c>
      <c r="D181" t="s">
        <v>6154</v>
      </c>
      <c r="E181" s="2">
        <v>1</v>
      </c>
      <c r="F181" s="2" t="s">
        <v>1500</v>
      </c>
      <c r="G181" s="4">
        <v>0</v>
      </c>
      <c r="H181" s="2" t="s">
        <v>318</v>
      </c>
      <c r="I181" s="2" t="s">
        <v>362</v>
      </c>
      <c r="J181">
        <v>0</v>
      </c>
      <c r="K181">
        <v>0</v>
      </c>
      <c r="L181">
        <v>0</v>
      </c>
      <c r="M181">
        <v>0</v>
      </c>
      <c r="N181" s="5">
        <v>0</v>
      </c>
      <c r="O181">
        <v>0</v>
      </c>
    </row>
    <row r="182" spans="1:15" hidden="1" x14ac:dyDescent="0.25">
      <c r="A182" s="2" t="s">
        <v>1503</v>
      </c>
      <c r="B182" s="3">
        <v>43910</v>
      </c>
      <c r="C182" s="2" t="s">
        <v>1504</v>
      </c>
      <c r="D182" t="s">
        <v>6184</v>
      </c>
      <c r="E182" s="2">
        <v>5</v>
      </c>
      <c r="F182" s="2" t="s">
        <v>1505</v>
      </c>
      <c r="G182" s="4" t="s">
        <v>1506</v>
      </c>
      <c r="H182" s="2" t="s">
        <v>19</v>
      </c>
      <c r="I182" s="2" t="s">
        <v>139</v>
      </c>
      <c r="J182">
        <v>0</v>
      </c>
      <c r="K182">
        <v>0</v>
      </c>
      <c r="L182">
        <v>0</v>
      </c>
      <c r="M182">
        <v>0</v>
      </c>
      <c r="N182" s="5">
        <v>0</v>
      </c>
      <c r="O182">
        <v>0</v>
      </c>
    </row>
    <row r="183" spans="1:15" hidden="1" x14ac:dyDescent="0.25">
      <c r="A183" s="2" t="s">
        <v>1503</v>
      </c>
      <c r="B183" s="3">
        <v>43910</v>
      </c>
      <c r="C183" s="2" t="s">
        <v>1504</v>
      </c>
      <c r="D183" t="s">
        <v>6158</v>
      </c>
      <c r="E183" s="2">
        <v>5</v>
      </c>
      <c r="F183" s="2" t="s">
        <v>1510</v>
      </c>
      <c r="G183" s="4" t="s">
        <v>1511</v>
      </c>
      <c r="H183" s="2" t="s">
        <v>19</v>
      </c>
      <c r="I183" s="2" t="s">
        <v>83</v>
      </c>
      <c r="J183">
        <v>0</v>
      </c>
      <c r="K183">
        <v>0</v>
      </c>
      <c r="L183">
        <v>0</v>
      </c>
      <c r="M183">
        <v>0</v>
      </c>
      <c r="N183" s="5">
        <v>0</v>
      </c>
      <c r="O183">
        <v>0</v>
      </c>
    </row>
    <row r="184" spans="1:15" hidden="1" x14ac:dyDescent="0.25">
      <c r="A184" s="2" t="s">
        <v>1514</v>
      </c>
      <c r="B184" s="3">
        <v>44284</v>
      </c>
      <c r="C184" s="2" t="s">
        <v>1515</v>
      </c>
      <c r="D184" t="s">
        <v>6172</v>
      </c>
      <c r="E184" s="2">
        <v>6</v>
      </c>
      <c r="F184" s="2" t="s">
        <v>1516</v>
      </c>
      <c r="G184" s="4" t="s">
        <v>1517</v>
      </c>
      <c r="H184" s="2" t="s">
        <v>19</v>
      </c>
      <c r="I184" s="2" t="s">
        <v>232</v>
      </c>
      <c r="J184">
        <v>0</v>
      </c>
      <c r="K184">
        <v>0</v>
      </c>
      <c r="L184">
        <v>0</v>
      </c>
      <c r="M184">
        <v>0</v>
      </c>
      <c r="N184" s="5">
        <v>0</v>
      </c>
      <c r="O184">
        <v>0</v>
      </c>
    </row>
    <row r="185" spans="1:15" hidden="1" x14ac:dyDescent="0.25">
      <c r="A185" s="2" t="s">
        <v>1520</v>
      </c>
      <c r="B185" s="3">
        <v>44512</v>
      </c>
      <c r="C185" s="2" t="s">
        <v>1521</v>
      </c>
      <c r="D185" t="s">
        <v>6156</v>
      </c>
      <c r="E185" s="2">
        <v>2</v>
      </c>
      <c r="F185" s="2" t="s">
        <v>1522</v>
      </c>
      <c r="G185" s="4" t="s">
        <v>1523</v>
      </c>
      <c r="H185" s="2" t="s">
        <v>19</v>
      </c>
      <c r="I185" s="2" t="s">
        <v>115</v>
      </c>
      <c r="J185">
        <v>0</v>
      </c>
      <c r="K185">
        <v>0</v>
      </c>
      <c r="L185">
        <v>0</v>
      </c>
      <c r="M185">
        <v>0</v>
      </c>
      <c r="N185" s="5">
        <v>0</v>
      </c>
      <c r="O185">
        <v>0</v>
      </c>
    </row>
    <row r="186" spans="1:15" hidden="1" x14ac:dyDescent="0.25">
      <c r="A186" s="2" t="s">
        <v>1526</v>
      </c>
      <c r="B186" s="3">
        <v>44397</v>
      </c>
      <c r="C186" s="2" t="s">
        <v>1527</v>
      </c>
      <c r="D186" t="s">
        <v>6180</v>
      </c>
      <c r="E186" s="2">
        <v>4</v>
      </c>
      <c r="F186" s="2" t="s">
        <v>1528</v>
      </c>
      <c r="G186" s="4" t="s">
        <v>1529</v>
      </c>
      <c r="H186" s="2" t="s">
        <v>19</v>
      </c>
      <c r="I186" s="2" t="s">
        <v>33</v>
      </c>
      <c r="J186">
        <v>0</v>
      </c>
      <c r="K186">
        <v>0</v>
      </c>
      <c r="L186">
        <v>0</v>
      </c>
      <c r="M186">
        <v>0</v>
      </c>
      <c r="N186" s="5">
        <v>0</v>
      </c>
      <c r="O186">
        <v>0</v>
      </c>
    </row>
    <row r="187" spans="1:15" hidden="1" x14ac:dyDescent="0.25">
      <c r="A187" s="2" t="s">
        <v>1532</v>
      </c>
      <c r="B187" s="3">
        <v>43483</v>
      </c>
      <c r="C187" s="2" t="s">
        <v>1533</v>
      </c>
      <c r="D187" t="s">
        <v>6144</v>
      </c>
      <c r="E187" s="2">
        <v>5</v>
      </c>
      <c r="F187" s="2" t="s">
        <v>1534</v>
      </c>
      <c r="G187" s="4" t="s">
        <v>1535</v>
      </c>
      <c r="H187" s="2" t="s">
        <v>19</v>
      </c>
      <c r="I187" s="2" t="s">
        <v>174</v>
      </c>
      <c r="J187">
        <v>0</v>
      </c>
      <c r="K187">
        <v>0</v>
      </c>
      <c r="L187">
        <v>0</v>
      </c>
      <c r="M187">
        <v>0</v>
      </c>
      <c r="N187" s="5">
        <v>0</v>
      </c>
      <c r="O187">
        <v>0</v>
      </c>
    </row>
    <row r="188" spans="1:15" hidden="1" x14ac:dyDescent="0.25">
      <c r="A188" s="2" t="s">
        <v>1538</v>
      </c>
      <c r="B188" s="3">
        <v>43684</v>
      </c>
      <c r="C188" s="2" t="s">
        <v>1539</v>
      </c>
      <c r="D188" t="s">
        <v>6151</v>
      </c>
      <c r="E188" s="2">
        <v>3</v>
      </c>
      <c r="F188" s="2" t="s">
        <v>1540</v>
      </c>
      <c r="G188" s="4" t="s">
        <v>1541</v>
      </c>
      <c r="H188" s="2" t="s">
        <v>19</v>
      </c>
      <c r="I188" s="2" t="s">
        <v>141</v>
      </c>
      <c r="J188">
        <v>0</v>
      </c>
      <c r="K188">
        <v>0</v>
      </c>
      <c r="L188">
        <v>0</v>
      </c>
      <c r="M188">
        <v>0</v>
      </c>
      <c r="N188" s="5">
        <v>0</v>
      </c>
      <c r="O188">
        <v>0</v>
      </c>
    </row>
    <row r="189" spans="1:15" hidden="1" x14ac:dyDescent="0.25">
      <c r="A189" s="2" t="s">
        <v>1544</v>
      </c>
      <c r="B189" s="3">
        <v>44633</v>
      </c>
      <c r="C189" s="2" t="s">
        <v>1545</v>
      </c>
      <c r="D189" t="s">
        <v>6160</v>
      </c>
      <c r="E189" s="2">
        <v>5</v>
      </c>
      <c r="F189" s="2" t="s">
        <v>1546</v>
      </c>
      <c r="G189" s="4" t="s">
        <v>1547</v>
      </c>
      <c r="H189" s="2" t="s">
        <v>19</v>
      </c>
      <c r="I189" s="2" t="s">
        <v>72</v>
      </c>
      <c r="J189">
        <v>0</v>
      </c>
      <c r="K189">
        <v>0</v>
      </c>
      <c r="L189">
        <v>0</v>
      </c>
      <c r="M189">
        <v>0</v>
      </c>
      <c r="N189" s="5">
        <v>0</v>
      </c>
      <c r="O189">
        <v>0</v>
      </c>
    </row>
    <row r="190" spans="1:15" hidden="1" x14ac:dyDescent="0.25">
      <c r="A190" s="2" t="s">
        <v>1549</v>
      </c>
      <c r="B190" s="3">
        <v>44698</v>
      </c>
      <c r="C190" s="2" t="s">
        <v>1550</v>
      </c>
      <c r="D190" t="s">
        <v>6184</v>
      </c>
      <c r="E190" s="2">
        <v>1</v>
      </c>
      <c r="F190" s="2" t="s">
        <v>1551</v>
      </c>
      <c r="G190" s="4" t="s">
        <v>1552</v>
      </c>
      <c r="H190" s="2" t="s">
        <v>19</v>
      </c>
      <c r="I190" s="2" t="s">
        <v>77</v>
      </c>
      <c r="J190">
        <v>0</v>
      </c>
      <c r="K190">
        <v>0</v>
      </c>
      <c r="L190">
        <v>0</v>
      </c>
      <c r="M190">
        <v>0</v>
      </c>
      <c r="N190" s="5">
        <v>0</v>
      </c>
      <c r="O190">
        <v>0</v>
      </c>
    </row>
    <row r="191" spans="1:15" hidden="1" x14ac:dyDescent="0.25">
      <c r="A191" s="2" t="s">
        <v>1555</v>
      </c>
      <c r="B191" s="3">
        <v>43813</v>
      </c>
      <c r="C191" s="2" t="s">
        <v>1556</v>
      </c>
      <c r="D191" t="s">
        <v>6162</v>
      </c>
      <c r="E191" s="2">
        <v>3</v>
      </c>
      <c r="F191" s="2" t="s">
        <v>1557</v>
      </c>
      <c r="G191" s="4" t="s">
        <v>1558</v>
      </c>
      <c r="H191" s="2" t="s">
        <v>19</v>
      </c>
      <c r="I191" s="2" t="s">
        <v>90</v>
      </c>
      <c r="J191">
        <v>0</v>
      </c>
      <c r="K191">
        <v>0</v>
      </c>
      <c r="L191">
        <v>0</v>
      </c>
      <c r="M191">
        <v>0</v>
      </c>
      <c r="N191" s="5">
        <v>0</v>
      </c>
      <c r="O191">
        <v>0</v>
      </c>
    </row>
    <row r="192" spans="1:15" hidden="1" x14ac:dyDescent="0.25">
      <c r="A192" s="2" t="s">
        <v>1561</v>
      </c>
      <c r="B192" s="3">
        <v>43845</v>
      </c>
      <c r="C192" s="2" t="s">
        <v>1562</v>
      </c>
      <c r="D192" t="s">
        <v>6181</v>
      </c>
      <c r="E192" s="2">
        <v>1</v>
      </c>
      <c r="F192" s="2" t="s">
        <v>1563</v>
      </c>
      <c r="G192" s="4" t="s">
        <v>1564</v>
      </c>
      <c r="H192" s="2" t="s">
        <v>19</v>
      </c>
      <c r="I192" s="2" t="s">
        <v>41</v>
      </c>
      <c r="J192">
        <v>0</v>
      </c>
      <c r="K192">
        <v>0</v>
      </c>
      <c r="L192">
        <v>0</v>
      </c>
      <c r="M192">
        <v>0</v>
      </c>
      <c r="N192" s="5">
        <v>0</v>
      </c>
      <c r="O192">
        <v>0</v>
      </c>
    </row>
    <row r="193" spans="1:15" hidden="1" x14ac:dyDescent="0.25">
      <c r="A193" s="2" t="s">
        <v>1567</v>
      </c>
      <c r="B193" s="3">
        <v>43567</v>
      </c>
      <c r="C193" s="2" t="s">
        <v>1568</v>
      </c>
      <c r="D193" t="s">
        <v>6150</v>
      </c>
      <c r="E193" s="2">
        <v>5</v>
      </c>
      <c r="F193" s="2" t="s">
        <v>1569</v>
      </c>
      <c r="G193" s="4" t="s">
        <v>1570</v>
      </c>
      <c r="H193" s="2" t="s">
        <v>19</v>
      </c>
      <c r="I193" s="2" t="s">
        <v>47</v>
      </c>
      <c r="J193">
        <v>0</v>
      </c>
      <c r="K193">
        <v>0</v>
      </c>
      <c r="L193">
        <v>0</v>
      </c>
      <c r="M193">
        <v>0</v>
      </c>
      <c r="N193" s="5">
        <v>0</v>
      </c>
      <c r="O193">
        <v>0</v>
      </c>
    </row>
    <row r="194" spans="1:15" hidden="1" x14ac:dyDescent="0.25">
      <c r="A194" s="2" t="s">
        <v>1573</v>
      </c>
      <c r="B194" s="3">
        <v>43919</v>
      </c>
      <c r="C194" s="2" t="s">
        <v>1574</v>
      </c>
      <c r="D194" t="s">
        <v>6183</v>
      </c>
      <c r="E194" s="2">
        <v>6</v>
      </c>
      <c r="F194" s="2" t="s">
        <v>1575</v>
      </c>
      <c r="G194" s="4" t="s">
        <v>1576</v>
      </c>
      <c r="H194" s="2" t="s">
        <v>318</v>
      </c>
      <c r="I194" s="2" t="s">
        <v>323</v>
      </c>
      <c r="J194">
        <v>0</v>
      </c>
      <c r="K194">
        <v>0</v>
      </c>
      <c r="L194">
        <v>0</v>
      </c>
      <c r="M194">
        <v>0</v>
      </c>
      <c r="N194" s="5">
        <v>0</v>
      </c>
      <c r="O194">
        <v>0</v>
      </c>
    </row>
    <row r="195" spans="1:15" hidden="1" x14ac:dyDescent="0.25">
      <c r="A195" s="2" t="s">
        <v>1579</v>
      </c>
      <c r="B195" s="3">
        <v>44644</v>
      </c>
      <c r="C195" s="2" t="s">
        <v>1580</v>
      </c>
      <c r="D195" t="s">
        <v>6171</v>
      </c>
      <c r="E195" s="2">
        <v>3</v>
      </c>
      <c r="F195" s="2" t="s">
        <v>1581</v>
      </c>
      <c r="G195" s="4">
        <v>0</v>
      </c>
      <c r="H195" s="2" t="s">
        <v>19</v>
      </c>
      <c r="I195" s="2" t="s">
        <v>188</v>
      </c>
      <c r="J195">
        <v>0</v>
      </c>
      <c r="K195">
        <v>0</v>
      </c>
      <c r="L195">
        <v>0</v>
      </c>
      <c r="M195">
        <v>0</v>
      </c>
      <c r="N195" s="5">
        <v>0</v>
      </c>
      <c r="O195">
        <v>0</v>
      </c>
    </row>
    <row r="196" spans="1:15" hidden="1" x14ac:dyDescent="0.25">
      <c r="A196" s="2" t="s">
        <v>1584</v>
      </c>
      <c r="B196" s="3">
        <v>44398</v>
      </c>
      <c r="C196" s="2" t="s">
        <v>1585</v>
      </c>
      <c r="D196" t="s">
        <v>6144</v>
      </c>
      <c r="E196" s="2">
        <v>5</v>
      </c>
      <c r="F196" s="2" t="s">
        <v>1586</v>
      </c>
      <c r="G196" s="4" t="s">
        <v>1587</v>
      </c>
      <c r="H196" s="2" t="s">
        <v>19</v>
      </c>
      <c r="I196" s="2" t="s">
        <v>181</v>
      </c>
      <c r="J196">
        <v>0</v>
      </c>
      <c r="K196">
        <v>0</v>
      </c>
      <c r="L196">
        <v>0</v>
      </c>
      <c r="M196">
        <v>0</v>
      </c>
      <c r="N196" s="5">
        <v>0</v>
      </c>
      <c r="O196">
        <v>0</v>
      </c>
    </row>
    <row r="197" spans="1:15" hidden="1" x14ac:dyDescent="0.25">
      <c r="A197" s="2" t="s">
        <v>1590</v>
      </c>
      <c r="B197" s="3">
        <v>43683</v>
      </c>
      <c r="C197" s="2" t="s">
        <v>1591</v>
      </c>
      <c r="D197" t="s">
        <v>6140</v>
      </c>
      <c r="E197" s="2">
        <v>3</v>
      </c>
      <c r="F197" s="2" t="s">
        <v>1592</v>
      </c>
      <c r="G197" s="4" t="s">
        <v>1593</v>
      </c>
      <c r="H197" s="2" t="s">
        <v>19</v>
      </c>
      <c r="I197" s="2" t="s">
        <v>23</v>
      </c>
      <c r="J197">
        <v>0</v>
      </c>
      <c r="K197">
        <v>0</v>
      </c>
      <c r="L197">
        <v>0</v>
      </c>
      <c r="M197">
        <v>0</v>
      </c>
      <c r="N197" s="5">
        <v>0</v>
      </c>
      <c r="O197">
        <v>0</v>
      </c>
    </row>
    <row r="198" spans="1:15" hidden="1" x14ac:dyDescent="0.25">
      <c r="A198" s="2" t="s">
        <v>1596</v>
      </c>
      <c r="B198" s="3">
        <v>44339</v>
      </c>
      <c r="C198" s="2" t="s">
        <v>1597</v>
      </c>
      <c r="D198" t="s">
        <v>6176</v>
      </c>
      <c r="E198" s="2">
        <v>6</v>
      </c>
      <c r="F198" s="2" t="s">
        <v>1598</v>
      </c>
      <c r="G198" s="4" t="s">
        <v>1599</v>
      </c>
      <c r="H198" s="2" t="s">
        <v>19</v>
      </c>
      <c r="I198" s="2" t="s">
        <v>47</v>
      </c>
      <c r="J198">
        <v>0</v>
      </c>
      <c r="K198">
        <v>0</v>
      </c>
      <c r="L198">
        <v>0</v>
      </c>
      <c r="M198">
        <v>0</v>
      </c>
      <c r="N198" s="5">
        <v>0</v>
      </c>
      <c r="O198">
        <v>0</v>
      </c>
    </row>
    <row r="199" spans="1:15" hidden="1" x14ac:dyDescent="0.25">
      <c r="A199" s="2" t="s">
        <v>1596</v>
      </c>
      <c r="B199" s="3">
        <v>44339</v>
      </c>
      <c r="C199" s="2" t="s">
        <v>1597</v>
      </c>
      <c r="D199" t="s">
        <v>6165</v>
      </c>
      <c r="E199" s="2">
        <v>2</v>
      </c>
      <c r="F199" s="2" t="s">
        <v>1602</v>
      </c>
      <c r="G199" s="4" t="s">
        <v>1603</v>
      </c>
      <c r="H199" s="2" t="s">
        <v>318</v>
      </c>
      <c r="I199" s="2" t="s">
        <v>475</v>
      </c>
      <c r="J199">
        <v>0</v>
      </c>
      <c r="K199">
        <v>0</v>
      </c>
      <c r="L199">
        <v>0</v>
      </c>
      <c r="M199">
        <v>0</v>
      </c>
      <c r="N199" s="5">
        <v>0</v>
      </c>
      <c r="O199">
        <v>0</v>
      </c>
    </row>
    <row r="200" spans="1:15" hidden="1" x14ac:dyDescent="0.25">
      <c r="A200" s="2" t="s">
        <v>1596</v>
      </c>
      <c r="B200" s="3">
        <v>44339</v>
      </c>
      <c r="C200" s="2" t="s">
        <v>1597</v>
      </c>
      <c r="D200" t="s">
        <v>6165</v>
      </c>
      <c r="E200" s="2">
        <v>3</v>
      </c>
      <c r="F200" s="2" t="s">
        <v>1607</v>
      </c>
      <c r="G200" s="4" t="s">
        <v>1608</v>
      </c>
      <c r="H200" s="2" t="s">
        <v>19</v>
      </c>
      <c r="I200" s="2" t="s">
        <v>121</v>
      </c>
      <c r="J200">
        <v>0</v>
      </c>
      <c r="K200">
        <v>0</v>
      </c>
      <c r="L200">
        <v>0</v>
      </c>
      <c r="M200">
        <v>0</v>
      </c>
      <c r="N200" s="5">
        <v>0</v>
      </c>
      <c r="O200">
        <v>0</v>
      </c>
    </row>
    <row r="201" spans="1:15" hidden="1" x14ac:dyDescent="0.25">
      <c r="A201" s="2" t="s">
        <v>1596</v>
      </c>
      <c r="B201" s="3">
        <v>44339</v>
      </c>
      <c r="C201" s="2" t="s">
        <v>1597</v>
      </c>
      <c r="D201" t="s">
        <v>6161</v>
      </c>
      <c r="E201" s="2">
        <v>4</v>
      </c>
      <c r="F201" s="2" t="s">
        <v>1612</v>
      </c>
      <c r="G201" s="4" t="s">
        <v>1613</v>
      </c>
      <c r="H201" s="2" t="s">
        <v>19</v>
      </c>
      <c r="I201" s="2" t="s">
        <v>56</v>
      </c>
      <c r="J201">
        <v>0</v>
      </c>
      <c r="K201">
        <v>0</v>
      </c>
      <c r="L201">
        <v>0</v>
      </c>
      <c r="M201">
        <v>0</v>
      </c>
      <c r="N201" s="5">
        <v>0</v>
      </c>
      <c r="O201">
        <v>0</v>
      </c>
    </row>
    <row r="202" spans="1:15" hidden="1" x14ac:dyDescent="0.25">
      <c r="A202" s="2" t="s">
        <v>1596</v>
      </c>
      <c r="B202" s="3">
        <v>44339</v>
      </c>
      <c r="C202" s="2" t="s">
        <v>1597</v>
      </c>
      <c r="D202" t="s">
        <v>6141</v>
      </c>
      <c r="E202" s="2">
        <v>3</v>
      </c>
      <c r="F202" s="2" t="s">
        <v>1617</v>
      </c>
      <c r="G202" s="4" t="s">
        <v>1618</v>
      </c>
      <c r="H202" s="2" t="s">
        <v>28</v>
      </c>
      <c r="I202" s="2" t="s">
        <v>299</v>
      </c>
      <c r="J202">
        <v>0</v>
      </c>
      <c r="K202">
        <v>0</v>
      </c>
      <c r="L202">
        <v>0</v>
      </c>
      <c r="M202">
        <v>0</v>
      </c>
      <c r="N202" s="5">
        <v>0</v>
      </c>
      <c r="O202">
        <v>0</v>
      </c>
    </row>
    <row r="203" spans="1:15" hidden="1" x14ac:dyDescent="0.25">
      <c r="A203" s="2" t="s">
        <v>1621</v>
      </c>
      <c r="B203" s="3">
        <v>44294</v>
      </c>
      <c r="C203" s="2" t="s">
        <v>1622</v>
      </c>
      <c r="D203" t="s">
        <v>6161</v>
      </c>
      <c r="E203" s="2">
        <v>6</v>
      </c>
      <c r="F203" s="2" t="s">
        <v>1623</v>
      </c>
      <c r="G203" s="4">
        <v>0</v>
      </c>
      <c r="H203" s="2" t="s">
        <v>19</v>
      </c>
      <c r="I203" s="2" t="s">
        <v>732</v>
      </c>
      <c r="J203">
        <v>0</v>
      </c>
      <c r="K203">
        <v>0</v>
      </c>
      <c r="L203">
        <v>0</v>
      </c>
      <c r="M203">
        <v>0</v>
      </c>
      <c r="N203" s="5">
        <v>0</v>
      </c>
      <c r="O203">
        <v>0</v>
      </c>
    </row>
    <row r="204" spans="1:15" hidden="1" x14ac:dyDescent="0.25">
      <c r="A204" s="2" t="s">
        <v>1626</v>
      </c>
      <c r="B204" s="3">
        <v>44486</v>
      </c>
      <c r="C204" s="2" t="s">
        <v>1627</v>
      </c>
      <c r="D204" t="s">
        <v>6165</v>
      </c>
      <c r="E204" s="2">
        <v>6</v>
      </c>
      <c r="F204" s="2" t="s">
        <v>1628</v>
      </c>
      <c r="G204" s="4" t="s">
        <v>1629</v>
      </c>
      <c r="H204" s="2" t="s">
        <v>19</v>
      </c>
      <c r="I204" s="2" t="s">
        <v>198</v>
      </c>
      <c r="J204">
        <v>0</v>
      </c>
      <c r="K204">
        <v>0</v>
      </c>
      <c r="L204">
        <v>0</v>
      </c>
      <c r="M204">
        <v>0</v>
      </c>
      <c r="N204" s="5">
        <v>0</v>
      </c>
      <c r="O204">
        <v>0</v>
      </c>
    </row>
    <row r="205" spans="1:15" hidden="1" x14ac:dyDescent="0.25">
      <c r="A205" s="2" t="s">
        <v>1632</v>
      </c>
      <c r="B205" s="3">
        <v>44608</v>
      </c>
      <c r="C205" s="2" t="s">
        <v>1633</v>
      </c>
      <c r="D205" t="s">
        <v>6145</v>
      </c>
      <c r="E205" s="2">
        <v>1</v>
      </c>
      <c r="F205" s="2" t="s">
        <v>1634</v>
      </c>
      <c r="G205" s="4" t="s">
        <v>1635</v>
      </c>
      <c r="H205" s="2" t="s">
        <v>19</v>
      </c>
      <c r="I205" s="2" t="s">
        <v>295</v>
      </c>
      <c r="J205">
        <v>0</v>
      </c>
      <c r="K205">
        <v>0</v>
      </c>
      <c r="L205">
        <v>0</v>
      </c>
      <c r="M205">
        <v>0</v>
      </c>
      <c r="N205" s="5">
        <v>0</v>
      </c>
      <c r="O205">
        <v>0</v>
      </c>
    </row>
    <row r="206" spans="1:15" hidden="1" x14ac:dyDescent="0.25">
      <c r="A206" s="2" t="s">
        <v>1638</v>
      </c>
      <c r="B206" s="3">
        <v>44027</v>
      </c>
      <c r="C206" s="2" t="s">
        <v>1639</v>
      </c>
      <c r="D206" t="s">
        <v>6141</v>
      </c>
      <c r="E206" s="2">
        <v>6</v>
      </c>
      <c r="F206" s="2" t="s">
        <v>1640</v>
      </c>
      <c r="G206" s="4">
        <v>0</v>
      </c>
      <c r="H206" s="2" t="s">
        <v>19</v>
      </c>
      <c r="I206" s="2" t="s">
        <v>302</v>
      </c>
      <c r="J206">
        <v>0</v>
      </c>
      <c r="K206">
        <v>0</v>
      </c>
      <c r="L206">
        <v>0</v>
      </c>
      <c r="M206">
        <v>0</v>
      </c>
      <c r="N206" s="5">
        <v>0</v>
      </c>
      <c r="O206">
        <v>0</v>
      </c>
    </row>
    <row r="207" spans="1:15" hidden="1" x14ac:dyDescent="0.25">
      <c r="A207" s="2" t="s">
        <v>1643</v>
      </c>
      <c r="B207" s="3">
        <v>43883</v>
      </c>
      <c r="C207" s="2" t="s">
        <v>1644</v>
      </c>
      <c r="D207" t="s">
        <v>6163</v>
      </c>
      <c r="E207" s="2">
        <v>3</v>
      </c>
      <c r="F207" s="2" t="s">
        <v>1645</v>
      </c>
      <c r="G207" s="4">
        <v>0</v>
      </c>
      <c r="H207" s="2" t="s">
        <v>19</v>
      </c>
      <c r="I207" s="2" t="s">
        <v>47</v>
      </c>
      <c r="J207">
        <v>0</v>
      </c>
      <c r="K207">
        <v>0</v>
      </c>
      <c r="L207">
        <v>0</v>
      </c>
      <c r="M207">
        <v>0</v>
      </c>
      <c r="N207" s="5">
        <v>0</v>
      </c>
      <c r="O207">
        <v>0</v>
      </c>
    </row>
    <row r="208" spans="1:15" hidden="1" x14ac:dyDescent="0.25">
      <c r="A208" s="2" t="s">
        <v>1648</v>
      </c>
      <c r="B208" s="3">
        <v>44211</v>
      </c>
      <c r="C208" s="2" t="s">
        <v>1649</v>
      </c>
      <c r="D208" t="s">
        <v>6155</v>
      </c>
      <c r="E208" s="2">
        <v>2</v>
      </c>
      <c r="F208" s="2" t="s">
        <v>1650</v>
      </c>
      <c r="G208" s="4" t="s">
        <v>1651</v>
      </c>
      <c r="H208" s="2" t="s">
        <v>19</v>
      </c>
      <c r="I208" s="2" t="s">
        <v>35</v>
      </c>
      <c r="J208">
        <v>0</v>
      </c>
      <c r="K208">
        <v>0</v>
      </c>
      <c r="L208">
        <v>0</v>
      </c>
      <c r="M208">
        <v>0</v>
      </c>
      <c r="N208" s="5">
        <v>0</v>
      </c>
      <c r="O208">
        <v>0</v>
      </c>
    </row>
    <row r="209" spans="1:15" hidden="1" x14ac:dyDescent="0.25">
      <c r="A209" s="2" t="s">
        <v>1653</v>
      </c>
      <c r="B209" s="3">
        <v>44207</v>
      </c>
      <c r="C209" s="2" t="s">
        <v>1654</v>
      </c>
      <c r="D209" t="s">
        <v>6157</v>
      </c>
      <c r="E209" s="2">
        <v>6</v>
      </c>
      <c r="F209" s="2" t="s">
        <v>1655</v>
      </c>
      <c r="G209" s="4" t="s">
        <v>1656</v>
      </c>
      <c r="H209" s="2" t="s">
        <v>19</v>
      </c>
      <c r="I209" s="2" t="s">
        <v>297</v>
      </c>
      <c r="J209">
        <v>0</v>
      </c>
      <c r="K209">
        <v>0</v>
      </c>
      <c r="L209">
        <v>0</v>
      </c>
      <c r="M209">
        <v>0</v>
      </c>
      <c r="N209" s="5">
        <v>0</v>
      </c>
      <c r="O209">
        <v>0</v>
      </c>
    </row>
    <row r="210" spans="1:15" hidden="1" x14ac:dyDescent="0.25">
      <c r="A210" s="2" t="s">
        <v>1659</v>
      </c>
      <c r="B210" s="3">
        <v>44659</v>
      </c>
      <c r="C210" s="2" t="s">
        <v>1660</v>
      </c>
      <c r="D210" t="s">
        <v>6144</v>
      </c>
      <c r="E210" s="2">
        <v>4</v>
      </c>
      <c r="F210" s="2" t="s">
        <v>1661</v>
      </c>
      <c r="G210" s="4" t="s">
        <v>1662</v>
      </c>
      <c r="H210" s="2" t="s">
        <v>318</v>
      </c>
      <c r="I210" s="2" t="s">
        <v>451</v>
      </c>
      <c r="J210">
        <v>0</v>
      </c>
      <c r="K210">
        <v>0</v>
      </c>
      <c r="L210">
        <v>0</v>
      </c>
      <c r="M210">
        <v>0</v>
      </c>
      <c r="N210" s="5">
        <v>0</v>
      </c>
      <c r="O210">
        <v>0</v>
      </c>
    </row>
    <row r="211" spans="1:15" hidden="1" x14ac:dyDescent="0.25">
      <c r="A211" s="2" t="s">
        <v>1665</v>
      </c>
      <c r="B211" s="3">
        <v>44105</v>
      </c>
      <c r="C211" s="2" t="s">
        <v>1666</v>
      </c>
      <c r="D211" t="s">
        <v>6157</v>
      </c>
      <c r="E211" s="2">
        <v>1</v>
      </c>
      <c r="F211" s="2" t="s">
        <v>1667</v>
      </c>
      <c r="G211" s="4" t="s">
        <v>1668</v>
      </c>
      <c r="H211" s="2" t="s">
        <v>28</v>
      </c>
      <c r="I211" s="2" t="s">
        <v>264</v>
      </c>
      <c r="J211">
        <v>0</v>
      </c>
      <c r="K211">
        <v>0</v>
      </c>
      <c r="L211">
        <v>0</v>
      </c>
      <c r="M211">
        <v>0</v>
      </c>
      <c r="N211" s="5">
        <v>0</v>
      </c>
      <c r="O211">
        <v>0</v>
      </c>
    </row>
    <row r="212" spans="1:15" hidden="1" x14ac:dyDescent="0.25">
      <c r="A212" s="2" t="s">
        <v>1671</v>
      </c>
      <c r="B212" s="3">
        <v>43766</v>
      </c>
      <c r="C212" s="2" t="s">
        <v>1672</v>
      </c>
      <c r="D212" t="s">
        <v>6143</v>
      </c>
      <c r="E212" s="2">
        <v>4</v>
      </c>
      <c r="F212" s="2" t="s">
        <v>1673</v>
      </c>
      <c r="G212" s="4" t="s">
        <v>1674</v>
      </c>
      <c r="H212" s="2" t="s">
        <v>19</v>
      </c>
      <c r="I212" s="2" t="s">
        <v>232</v>
      </c>
      <c r="J212">
        <v>0</v>
      </c>
      <c r="K212">
        <v>0</v>
      </c>
      <c r="L212">
        <v>0</v>
      </c>
      <c r="M212">
        <v>0</v>
      </c>
      <c r="N212" s="5">
        <v>0</v>
      </c>
      <c r="O212">
        <v>0</v>
      </c>
    </row>
    <row r="213" spans="1:15" hidden="1" x14ac:dyDescent="0.25">
      <c r="A213" s="2" t="s">
        <v>1677</v>
      </c>
      <c r="B213" s="3">
        <v>44283</v>
      </c>
      <c r="C213" s="2" t="s">
        <v>1678</v>
      </c>
      <c r="D213" t="s">
        <v>6176</v>
      </c>
      <c r="E213" s="2">
        <v>6</v>
      </c>
      <c r="F213" s="2" t="s">
        <v>1679</v>
      </c>
      <c r="G213" s="4" t="s">
        <v>1680</v>
      </c>
      <c r="H213" s="2" t="s">
        <v>19</v>
      </c>
      <c r="I213" s="2" t="s">
        <v>57</v>
      </c>
      <c r="J213">
        <v>0</v>
      </c>
      <c r="K213">
        <v>0</v>
      </c>
      <c r="L213">
        <v>0</v>
      </c>
      <c r="M213">
        <v>0</v>
      </c>
      <c r="N213" s="5">
        <v>0</v>
      </c>
      <c r="O213">
        <v>0</v>
      </c>
    </row>
    <row r="214" spans="1:15" hidden="1" x14ac:dyDescent="0.25">
      <c r="A214" s="2" t="s">
        <v>1682</v>
      </c>
      <c r="B214" s="3">
        <v>43921</v>
      </c>
      <c r="C214" s="2" t="s">
        <v>1683</v>
      </c>
      <c r="D214" t="s">
        <v>6153</v>
      </c>
      <c r="E214" s="2">
        <v>4</v>
      </c>
      <c r="F214" s="2" t="s">
        <v>1684</v>
      </c>
      <c r="G214" s="4" t="s">
        <v>1685</v>
      </c>
      <c r="H214" s="2" t="s">
        <v>19</v>
      </c>
      <c r="I214" s="2" t="s">
        <v>24</v>
      </c>
      <c r="J214">
        <v>0</v>
      </c>
      <c r="K214">
        <v>0</v>
      </c>
      <c r="L214">
        <v>0</v>
      </c>
      <c r="M214">
        <v>0</v>
      </c>
      <c r="N214" s="5">
        <v>0</v>
      </c>
      <c r="O214">
        <v>0</v>
      </c>
    </row>
    <row r="215" spans="1:15" hidden="1" x14ac:dyDescent="0.25">
      <c r="A215" s="2" t="s">
        <v>1688</v>
      </c>
      <c r="B215" s="3">
        <v>44646</v>
      </c>
      <c r="C215" s="2" t="s">
        <v>1689</v>
      </c>
      <c r="D215" t="s">
        <v>6149</v>
      </c>
      <c r="E215" s="2">
        <v>1</v>
      </c>
      <c r="F215" s="2" t="s">
        <v>1690</v>
      </c>
      <c r="G215" s="4" t="s">
        <v>1691</v>
      </c>
      <c r="H215" s="2" t="s">
        <v>19</v>
      </c>
      <c r="I215" s="2" t="s">
        <v>57</v>
      </c>
      <c r="J215">
        <v>0</v>
      </c>
      <c r="K215">
        <v>0</v>
      </c>
      <c r="L215">
        <v>0</v>
      </c>
      <c r="M215">
        <v>0</v>
      </c>
      <c r="N215" s="5">
        <v>0</v>
      </c>
      <c r="O215">
        <v>0</v>
      </c>
    </row>
    <row r="216" spans="1:15" hidden="1" x14ac:dyDescent="0.25">
      <c r="A216" s="2" t="s">
        <v>1694</v>
      </c>
      <c r="B216" s="3">
        <v>43775</v>
      </c>
      <c r="C216" s="2" t="s">
        <v>1695</v>
      </c>
      <c r="D216" t="s">
        <v>6170</v>
      </c>
      <c r="E216" s="2">
        <v>2</v>
      </c>
      <c r="F216" s="2" t="s">
        <v>1696</v>
      </c>
      <c r="G216" s="4" t="s">
        <v>1697</v>
      </c>
      <c r="H216" s="2" t="s">
        <v>318</v>
      </c>
      <c r="I216" s="2" t="s">
        <v>1700</v>
      </c>
      <c r="J216">
        <v>0</v>
      </c>
      <c r="K216">
        <v>0</v>
      </c>
      <c r="L216">
        <v>0</v>
      </c>
      <c r="M216">
        <v>0</v>
      </c>
      <c r="N216" s="5">
        <v>0</v>
      </c>
      <c r="O216">
        <v>0</v>
      </c>
    </row>
    <row r="217" spans="1:15" hidden="1" x14ac:dyDescent="0.25">
      <c r="A217" s="2" t="s">
        <v>1701</v>
      </c>
      <c r="B217" s="3">
        <v>43829</v>
      </c>
      <c r="C217" s="2" t="s">
        <v>1702</v>
      </c>
      <c r="D217" t="s">
        <v>6150</v>
      </c>
      <c r="E217" s="2">
        <v>6</v>
      </c>
      <c r="F217" s="2" t="s">
        <v>1703</v>
      </c>
      <c r="G217" s="4" t="s">
        <v>1704</v>
      </c>
      <c r="H217" s="2" t="s">
        <v>19</v>
      </c>
      <c r="I217" s="2" t="s">
        <v>216</v>
      </c>
      <c r="J217">
        <v>0</v>
      </c>
      <c r="K217">
        <v>0</v>
      </c>
      <c r="L217">
        <v>0</v>
      </c>
      <c r="M217">
        <v>0</v>
      </c>
      <c r="N217" s="5">
        <v>0</v>
      </c>
      <c r="O217">
        <v>0</v>
      </c>
    </row>
    <row r="218" spans="1:15" hidden="1" x14ac:dyDescent="0.25">
      <c r="A218" s="2" t="s">
        <v>1707</v>
      </c>
      <c r="B218" s="3">
        <v>44470</v>
      </c>
      <c r="C218" s="2" t="s">
        <v>1708</v>
      </c>
      <c r="D218" t="s">
        <v>6162</v>
      </c>
      <c r="E218" s="2">
        <v>4</v>
      </c>
      <c r="F218" s="2" t="s">
        <v>1709</v>
      </c>
      <c r="G218" s="4" t="s">
        <v>1710</v>
      </c>
      <c r="H218" s="2" t="s">
        <v>19</v>
      </c>
      <c r="I218" s="2" t="s">
        <v>260</v>
      </c>
      <c r="J218">
        <v>0</v>
      </c>
      <c r="K218">
        <v>0</v>
      </c>
      <c r="L218">
        <v>0</v>
      </c>
      <c r="M218">
        <v>0</v>
      </c>
      <c r="N218" s="5">
        <v>0</v>
      </c>
      <c r="O218">
        <v>0</v>
      </c>
    </row>
    <row r="219" spans="1:15" hidden="1" x14ac:dyDescent="0.25">
      <c r="A219" s="2" t="s">
        <v>1713</v>
      </c>
      <c r="B219" s="3">
        <v>44174</v>
      </c>
      <c r="C219" s="2" t="s">
        <v>1714</v>
      </c>
      <c r="D219" t="s">
        <v>6176</v>
      </c>
      <c r="E219" s="2">
        <v>4</v>
      </c>
      <c r="F219" s="2" t="s">
        <v>1715</v>
      </c>
      <c r="G219" s="4" t="s">
        <v>1716</v>
      </c>
      <c r="H219" s="2" t="s">
        <v>19</v>
      </c>
      <c r="I219" s="2" t="s">
        <v>87</v>
      </c>
      <c r="J219">
        <v>0</v>
      </c>
      <c r="K219">
        <v>0</v>
      </c>
      <c r="L219">
        <v>0</v>
      </c>
      <c r="M219">
        <v>0</v>
      </c>
      <c r="N219" s="5">
        <v>0</v>
      </c>
      <c r="O219">
        <v>0</v>
      </c>
    </row>
    <row r="220" spans="1:15" hidden="1" x14ac:dyDescent="0.25">
      <c r="A220" s="2" t="s">
        <v>1719</v>
      </c>
      <c r="B220" s="3">
        <v>44317</v>
      </c>
      <c r="C220" s="2" t="s">
        <v>1720</v>
      </c>
      <c r="D220" t="s">
        <v>6155</v>
      </c>
      <c r="E220" s="2">
        <v>5</v>
      </c>
      <c r="F220" s="2" t="s">
        <v>1721</v>
      </c>
      <c r="G220" s="4" t="s">
        <v>1722</v>
      </c>
      <c r="H220" s="2" t="s">
        <v>318</v>
      </c>
      <c r="I220" s="2" t="s">
        <v>342</v>
      </c>
      <c r="J220">
        <v>0</v>
      </c>
      <c r="K220">
        <v>0</v>
      </c>
      <c r="L220">
        <v>0</v>
      </c>
      <c r="M220">
        <v>0</v>
      </c>
      <c r="N220" s="5">
        <v>0</v>
      </c>
      <c r="O220">
        <v>0</v>
      </c>
    </row>
    <row r="221" spans="1:15" hidden="1" x14ac:dyDescent="0.25">
      <c r="A221" s="2" t="s">
        <v>1725</v>
      </c>
      <c r="B221" s="3">
        <v>44777</v>
      </c>
      <c r="C221" s="2" t="s">
        <v>1726</v>
      </c>
      <c r="D221" t="s">
        <v>6178</v>
      </c>
      <c r="E221" s="2">
        <v>3</v>
      </c>
      <c r="F221" s="2" t="s">
        <v>1727</v>
      </c>
      <c r="G221" s="4" t="s">
        <v>1728</v>
      </c>
      <c r="H221" s="2" t="s">
        <v>19</v>
      </c>
      <c r="I221" s="2" t="s">
        <v>37</v>
      </c>
      <c r="J221">
        <v>0</v>
      </c>
      <c r="K221">
        <v>0</v>
      </c>
      <c r="L221">
        <v>0</v>
      </c>
      <c r="M221">
        <v>0</v>
      </c>
      <c r="N221" s="5">
        <v>0</v>
      </c>
      <c r="O221">
        <v>0</v>
      </c>
    </row>
    <row r="222" spans="1:15" hidden="1" x14ac:dyDescent="0.25">
      <c r="A222" s="2" t="s">
        <v>1725</v>
      </c>
      <c r="B222" s="3">
        <v>44777</v>
      </c>
      <c r="C222" s="2" t="s">
        <v>1726</v>
      </c>
      <c r="D222" t="s">
        <v>6174</v>
      </c>
      <c r="E222" s="2">
        <v>5</v>
      </c>
      <c r="F222" s="2" t="s">
        <v>1732</v>
      </c>
      <c r="G222" s="4" t="s">
        <v>1733</v>
      </c>
      <c r="H222" s="2" t="s">
        <v>19</v>
      </c>
      <c r="I222" s="2" t="s">
        <v>106</v>
      </c>
      <c r="J222">
        <v>0</v>
      </c>
      <c r="K222">
        <v>0</v>
      </c>
      <c r="L222">
        <v>0</v>
      </c>
      <c r="M222">
        <v>0</v>
      </c>
      <c r="N222" s="5">
        <v>0</v>
      </c>
      <c r="O222">
        <v>0</v>
      </c>
    </row>
    <row r="223" spans="1:15" hidden="1" x14ac:dyDescent="0.25">
      <c r="A223" s="2" t="s">
        <v>1736</v>
      </c>
      <c r="B223" s="3">
        <v>44513</v>
      </c>
      <c r="C223" s="2" t="s">
        <v>1737</v>
      </c>
      <c r="D223" t="s">
        <v>6140</v>
      </c>
      <c r="E223" s="2">
        <v>6</v>
      </c>
      <c r="F223" s="2" t="s">
        <v>1738</v>
      </c>
      <c r="G223" s="4" t="s">
        <v>1739</v>
      </c>
      <c r="H223" s="2" t="s">
        <v>19</v>
      </c>
      <c r="I223" s="2" t="s">
        <v>422</v>
      </c>
      <c r="J223">
        <v>0</v>
      </c>
      <c r="K223">
        <v>0</v>
      </c>
      <c r="L223">
        <v>0</v>
      </c>
      <c r="M223">
        <v>0</v>
      </c>
      <c r="N223" s="5">
        <v>0</v>
      </c>
      <c r="O223">
        <v>0</v>
      </c>
    </row>
    <row r="224" spans="1:15" hidden="1" x14ac:dyDescent="0.25">
      <c r="A224" s="2" t="s">
        <v>1742</v>
      </c>
      <c r="B224" s="3">
        <v>44090</v>
      </c>
      <c r="C224" s="2" t="s">
        <v>1743</v>
      </c>
      <c r="D224" t="s">
        <v>6169</v>
      </c>
      <c r="E224" s="2">
        <v>3</v>
      </c>
      <c r="F224" s="2" t="s">
        <v>1744</v>
      </c>
      <c r="G224" s="4" t="s">
        <v>1745</v>
      </c>
      <c r="H224" s="2" t="s">
        <v>19</v>
      </c>
      <c r="I224" s="2" t="s">
        <v>218</v>
      </c>
      <c r="J224">
        <v>0</v>
      </c>
      <c r="K224">
        <v>0</v>
      </c>
      <c r="L224">
        <v>0</v>
      </c>
      <c r="M224">
        <v>0</v>
      </c>
      <c r="N224" s="5">
        <v>0</v>
      </c>
      <c r="O224">
        <v>0</v>
      </c>
    </row>
    <row r="225" spans="1:15" hidden="1" x14ac:dyDescent="0.25">
      <c r="A225" s="2" t="s">
        <v>1748</v>
      </c>
      <c r="B225" s="3">
        <v>44109</v>
      </c>
      <c r="C225" s="2" t="s">
        <v>1749</v>
      </c>
      <c r="D225" t="s">
        <v>6171</v>
      </c>
      <c r="E225" s="2">
        <v>4</v>
      </c>
      <c r="F225" s="2" t="s">
        <v>1750</v>
      </c>
      <c r="G225" s="4">
        <v>0</v>
      </c>
      <c r="H225" s="2" t="s">
        <v>19</v>
      </c>
      <c r="I225" s="2" t="s">
        <v>47</v>
      </c>
      <c r="J225">
        <v>0</v>
      </c>
      <c r="K225">
        <v>0</v>
      </c>
      <c r="L225">
        <v>0</v>
      </c>
      <c r="M225">
        <v>0</v>
      </c>
      <c r="N225" s="5">
        <v>0</v>
      </c>
      <c r="O225">
        <v>0</v>
      </c>
    </row>
    <row r="226" spans="1:15" hidden="1" x14ac:dyDescent="0.25">
      <c r="A226" s="2" t="s">
        <v>1753</v>
      </c>
      <c r="B226" s="3">
        <v>43836</v>
      </c>
      <c r="C226" s="2" t="s">
        <v>1754</v>
      </c>
      <c r="D226" t="s">
        <v>6165</v>
      </c>
      <c r="E226" s="2">
        <v>4</v>
      </c>
      <c r="F226" s="2" t="s">
        <v>1755</v>
      </c>
      <c r="G226" s="4" t="s">
        <v>1756</v>
      </c>
      <c r="H226" s="2" t="s">
        <v>19</v>
      </c>
      <c r="I226" s="2" t="s">
        <v>57</v>
      </c>
      <c r="J226">
        <v>0</v>
      </c>
      <c r="K226">
        <v>0</v>
      </c>
      <c r="L226">
        <v>0</v>
      </c>
      <c r="M226">
        <v>0</v>
      </c>
      <c r="N226" s="5">
        <v>0</v>
      </c>
      <c r="O226">
        <v>0</v>
      </c>
    </row>
    <row r="227" spans="1:15" hidden="1" x14ac:dyDescent="0.25">
      <c r="A227" s="2" t="s">
        <v>1759</v>
      </c>
      <c r="B227" s="3">
        <v>44337</v>
      </c>
      <c r="C227" s="2" t="s">
        <v>1760</v>
      </c>
      <c r="D227" t="s">
        <v>6178</v>
      </c>
      <c r="E227" s="2">
        <v>4</v>
      </c>
      <c r="F227" s="2" t="s">
        <v>1761</v>
      </c>
      <c r="G227" s="4" t="s">
        <v>1762</v>
      </c>
      <c r="H227" s="2" t="s">
        <v>318</v>
      </c>
      <c r="I227" s="2" t="s">
        <v>408</v>
      </c>
      <c r="J227">
        <v>0</v>
      </c>
      <c r="K227">
        <v>0</v>
      </c>
      <c r="L227">
        <v>0</v>
      </c>
      <c r="M227">
        <v>0</v>
      </c>
      <c r="N227" s="5">
        <v>0</v>
      </c>
      <c r="O227">
        <v>0</v>
      </c>
    </row>
    <row r="228" spans="1:15" hidden="1" x14ac:dyDescent="0.25">
      <c r="A228" s="2" t="s">
        <v>1765</v>
      </c>
      <c r="B228" s="3">
        <v>43887</v>
      </c>
      <c r="C228" s="2" t="s">
        <v>1766</v>
      </c>
      <c r="D228" t="s">
        <v>6175</v>
      </c>
      <c r="E228" s="2">
        <v>5</v>
      </c>
      <c r="F228" s="2" t="s">
        <v>1767</v>
      </c>
      <c r="G228" s="4" t="s">
        <v>1768</v>
      </c>
      <c r="H228" s="2" t="s">
        <v>19</v>
      </c>
      <c r="I228" s="2" t="s">
        <v>67</v>
      </c>
      <c r="J228">
        <v>0</v>
      </c>
      <c r="K228">
        <v>0</v>
      </c>
      <c r="L228">
        <v>0</v>
      </c>
      <c r="M228">
        <v>0</v>
      </c>
      <c r="N228" s="5">
        <v>0</v>
      </c>
      <c r="O228">
        <v>0</v>
      </c>
    </row>
    <row r="229" spans="1:15" hidden="1" x14ac:dyDescent="0.25">
      <c r="A229" s="2" t="s">
        <v>1771</v>
      </c>
      <c r="B229" s="3">
        <v>43880</v>
      </c>
      <c r="C229" s="2" t="s">
        <v>1772</v>
      </c>
      <c r="D229" t="s">
        <v>6163</v>
      </c>
      <c r="E229" s="2">
        <v>6</v>
      </c>
      <c r="F229" s="2" t="s">
        <v>1773</v>
      </c>
      <c r="G229" s="4" t="s">
        <v>1774</v>
      </c>
      <c r="H229" s="2" t="s">
        <v>28</v>
      </c>
      <c r="I229" s="2" t="s">
        <v>246</v>
      </c>
      <c r="J229">
        <v>0</v>
      </c>
      <c r="K229">
        <v>0</v>
      </c>
      <c r="L229">
        <v>0</v>
      </c>
      <c r="M229">
        <v>0</v>
      </c>
      <c r="N229" s="5">
        <v>0</v>
      </c>
      <c r="O229">
        <v>0</v>
      </c>
    </row>
    <row r="230" spans="1:15" hidden="1" x14ac:dyDescent="0.25">
      <c r="A230" s="2" t="s">
        <v>1777</v>
      </c>
      <c r="B230" s="3">
        <v>44376</v>
      </c>
      <c r="C230" s="2" t="s">
        <v>1778</v>
      </c>
      <c r="D230" t="s">
        <v>6178</v>
      </c>
      <c r="E230" s="2">
        <v>5</v>
      </c>
      <c r="F230" s="2" t="s">
        <v>1779</v>
      </c>
      <c r="G230" s="4" t="s">
        <v>1780</v>
      </c>
      <c r="H230" s="2" t="s">
        <v>19</v>
      </c>
      <c r="I230" s="2" t="s">
        <v>131</v>
      </c>
      <c r="J230">
        <v>0</v>
      </c>
      <c r="K230">
        <v>0</v>
      </c>
      <c r="L230">
        <v>0</v>
      </c>
      <c r="M230">
        <v>0</v>
      </c>
      <c r="N230" s="5">
        <v>0</v>
      </c>
      <c r="O230">
        <v>0</v>
      </c>
    </row>
    <row r="231" spans="1:15" hidden="1" x14ac:dyDescent="0.25">
      <c r="A231" s="2" t="s">
        <v>1783</v>
      </c>
      <c r="B231" s="3">
        <v>44282</v>
      </c>
      <c r="C231" s="2" t="s">
        <v>1784</v>
      </c>
      <c r="D231" t="s">
        <v>6159</v>
      </c>
      <c r="E231" s="2">
        <v>2</v>
      </c>
      <c r="F231" s="2" t="s">
        <v>1785</v>
      </c>
      <c r="G231" s="4" t="s">
        <v>1786</v>
      </c>
      <c r="H231" s="2" t="s">
        <v>19</v>
      </c>
      <c r="I231" s="2" t="s">
        <v>202</v>
      </c>
      <c r="J231">
        <v>0</v>
      </c>
      <c r="K231">
        <v>0</v>
      </c>
      <c r="L231">
        <v>0</v>
      </c>
      <c r="M231">
        <v>0</v>
      </c>
      <c r="N231" s="5">
        <v>0</v>
      </c>
      <c r="O231">
        <v>0</v>
      </c>
    </row>
    <row r="232" spans="1:15" hidden="1" x14ac:dyDescent="0.25">
      <c r="A232" s="2" t="s">
        <v>1789</v>
      </c>
      <c r="B232" s="3">
        <v>44496</v>
      </c>
      <c r="C232" s="2" t="s">
        <v>1790</v>
      </c>
      <c r="D232" t="s">
        <v>6175</v>
      </c>
      <c r="E232" s="2">
        <v>2</v>
      </c>
      <c r="F232" s="2" t="s">
        <v>1791</v>
      </c>
      <c r="G232" s="4" t="s">
        <v>1792</v>
      </c>
      <c r="H232" s="2" t="s">
        <v>19</v>
      </c>
      <c r="I232" s="2" t="s">
        <v>82</v>
      </c>
      <c r="J232">
        <v>0</v>
      </c>
      <c r="K232">
        <v>0</v>
      </c>
      <c r="L232">
        <v>0</v>
      </c>
      <c r="M232">
        <v>0</v>
      </c>
      <c r="N232" s="5">
        <v>0</v>
      </c>
      <c r="O232">
        <v>0</v>
      </c>
    </row>
    <row r="233" spans="1:15" hidden="1" x14ac:dyDescent="0.25">
      <c r="A233" s="2" t="s">
        <v>1795</v>
      </c>
      <c r="B233" s="3">
        <v>43628</v>
      </c>
      <c r="C233" s="2" t="s">
        <v>1796</v>
      </c>
      <c r="D233" t="s">
        <v>6159</v>
      </c>
      <c r="E233" s="2">
        <v>2</v>
      </c>
      <c r="F233" s="2" t="s">
        <v>1797</v>
      </c>
      <c r="G233" s="4">
        <v>0</v>
      </c>
      <c r="H233" s="2" t="s">
        <v>19</v>
      </c>
      <c r="I233" s="2" t="s">
        <v>199</v>
      </c>
      <c r="J233">
        <v>0</v>
      </c>
      <c r="K233">
        <v>0</v>
      </c>
      <c r="L233">
        <v>0</v>
      </c>
      <c r="M233">
        <v>0</v>
      </c>
      <c r="N233" s="5">
        <v>0</v>
      </c>
      <c r="O233">
        <v>0</v>
      </c>
    </row>
    <row r="234" spans="1:15" hidden="1" x14ac:dyDescent="0.25">
      <c r="A234" s="2" t="s">
        <v>1800</v>
      </c>
      <c r="B234" s="3">
        <v>44010</v>
      </c>
      <c r="C234" s="2" t="s">
        <v>1801</v>
      </c>
      <c r="D234" t="s">
        <v>6145</v>
      </c>
      <c r="E234" s="2">
        <v>5</v>
      </c>
      <c r="F234" s="2" t="s">
        <v>1802</v>
      </c>
      <c r="G234" s="4" t="s">
        <v>1803</v>
      </c>
      <c r="H234" s="2" t="s">
        <v>28</v>
      </c>
      <c r="I234" s="2" t="s">
        <v>248</v>
      </c>
      <c r="J234">
        <v>0</v>
      </c>
      <c r="K234">
        <v>0</v>
      </c>
      <c r="L234">
        <v>0</v>
      </c>
      <c r="M234">
        <v>0</v>
      </c>
      <c r="N234" s="5">
        <v>0</v>
      </c>
      <c r="O234">
        <v>0</v>
      </c>
    </row>
    <row r="235" spans="1:15" hidden="1" x14ac:dyDescent="0.25">
      <c r="A235" s="2" t="s">
        <v>1806</v>
      </c>
      <c r="B235" s="3">
        <v>44278</v>
      </c>
      <c r="C235" s="2" t="s">
        <v>1807</v>
      </c>
      <c r="D235" t="s">
        <v>6156</v>
      </c>
      <c r="E235" s="2">
        <v>5</v>
      </c>
      <c r="F235" s="2" t="s">
        <v>1808</v>
      </c>
      <c r="G235" s="4" t="s">
        <v>1809</v>
      </c>
      <c r="H235" s="2" t="s">
        <v>19</v>
      </c>
      <c r="I235" s="2" t="s">
        <v>73</v>
      </c>
      <c r="J235">
        <v>0</v>
      </c>
      <c r="K235">
        <v>0</v>
      </c>
      <c r="L235">
        <v>0</v>
      </c>
      <c r="M235">
        <v>0</v>
      </c>
      <c r="N235" s="5">
        <v>0</v>
      </c>
      <c r="O235">
        <v>0</v>
      </c>
    </row>
    <row r="236" spans="1:15" hidden="1" x14ac:dyDescent="0.25">
      <c r="A236" s="2" t="s">
        <v>1812</v>
      </c>
      <c r="B236" s="3">
        <v>44602</v>
      </c>
      <c r="C236" s="2" t="s">
        <v>1813</v>
      </c>
      <c r="D236" t="s">
        <v>6164</v>
      </c>
      <c r="E236" s="2">
        <v>1</v>
      </c>
      <c r="F236" s="2" t="s">
        <v>1814</v>
      </c>
      <c r="G236" s="4" t="s">
        <v>1815</v>
      </c>
      <c r="H236" s="2" t="s">
        <v>19</v>
      </c>
      <c r="I236" s="2" t="s">
        <v>57</v>
      </c>
      <c r="J236">
        <v>0</v>
      </c>
      <c r="K236">
        <v>0</v>
      </c>
      <c r="L236">
        <v>0</v>
      </c>
      <c r="M236">
        <v>0</v>
      </c>
      <c r="N236" s="5">
        <v>0</v>
      </c>
      <c r="O236">
        <v>0</v>
      </c>
    </row>
    <row r="237" spans="1:15" hidden="1" x14ac:dyDescent="0.25">
      <c r="A237" s="2" t="s">
        <v>1818</v>
      </c>
      <c r="B237" s="3">
        <v>43571</v>
      </c>
      <c r="C237" s="2" t="s">
        <v>1819</v>
      </c>
      <c r="D237" t="s">
        <v>6164</v>
      </c>
      <c r="E237" s="2">
        <v>5</v>
      </c>
      <c r="F237" s="2" t="s">
        <v>1820</v>
      </c>
      <c r="G237" s="4">
        <v>0</v>
      </c>
      <c r="H237" s="2" t="s">
        <v>318</v>
      </c>
      <c r="I237" s="2" t="s">
        <v>472</v>
      </c>
      <c r="J237">
        <v>0</v>
      </c>
      <c r="K237">
        <v>0</v>
      </c>
      <c r="L237">
        <v>0</v>
      </c>
      <c r="M237">
        <v>0</v>
      </c>
      <c r="N237" s="5">
        <v>0</v>
      </c>
      <c r="O237">
        <v>0</v>
      </c>
    </row>
    <row r="238" spans="1:15" hidden="1" x14ac:dyDescent="0.25">
      <c r="A238" s="2" t="s">
        <v>1822</v>
      </c>
      <c r="B238" s="3">
        <v>43873</v>
      </c>
      <c r="C238" s="2" t="s">
        <v>1823</v>
      </c>
      <c r="D238" t="s">
        <v>6165</v>
      </c>
      <c r="E238" s="2">
        <v>3</v>
      </c>
      <c r="F238" s="2" t="s">
        <v>1824</v>
      </c>
      <c r="G238" s="4" t="s">
        <v>1825</v>
      </c>
      <c r="H238" s="2" t="s">
        <v>318</v>
      </c>
      <c r="I238" s="2" t="s">
        <v>463</v>
      </c>
      <c r="J238">
        <v>0</v>
      </c>
      <c r="K238">
        <v>0</v>
      </c>
      <c r="L238">
        <v>0</v>
      </c>
      <c r="M238">
        <v>0</v>
      </c>
      <c r="N238" s="5">
        <v>0</v>
      </c>
      <c r="O238">
        <v>0</v>
      </c>
    </row>
    <row r="239" spans="1:15" hidden="1" x14ac:dyDescent="0.25">
      <c r="A239" s="2" t="s">
        <v>1828</v>
      </c>
      <c r="B239" s="3">
        <v>44563</v>
      </c>
      <c r="C239" s="2" t="s">
        <v>1829</v>
      </c>
      <c r="D239" t="s">
        <v>6178</v>
      </c>
      <c r="E239" s="2">
        <v>1</v>
      </c>
      <c r="F239" s="2" t="s">
        <v>1830</v>
      </c>
      <c r="G239" s="4">
        <v>0</v>
      </c>
      <c r="H239" s="2" t="s">
        <v>19</v>
      </c>
      <c r="I239" s="2" t="s">
        <v>51</v>
      </c>
      <c r="J239">
        <v>0</v>
      </c>
      <c r="K239">
        <v>0</v>
      </c>
      <c r="L239">
        <v>0</v>
      </c>
      <c r="M239">
        <v>0</v>
      </c>
      <c r="N239" s="5">
        <v>0</v>
      </c>
      <c r="O239">
        <v>0</v>
      </c>
    </row>
    <row r="240" spans="1:15" hidden="1" x14ac:dyDescent="0.25">
      <c r="A240" s="2" t="s">
        <v>1833</v>
      </c>
      <c r="B240" s="3">
        <v>44172</v>
      </c>
      <c r="C240" s="2" t="s">
        <v>1834</v>
      </c>
      <c r="D240" t="s">
        <v>6151</v>
      </c>
      <c r="E240" s="2">
        <v>2</v>
      </c>
      <c r="F240" s="2" t="s">
        <v>1835</v>
      </c>
      <c r="G240" s="4" t="s">
        <v>1836</v>
      </c>
      <c r="H240" s="2" t="s">
        <v>19</v>
      </c>
      <c r="I240" s="2" t="s">
        <v>212</v>
      </c>
      <c r="J240">
        <v>0</v>
      </c>
      <c r="K240">
        <v>0</v>
      </c>
      <c r="L240">
        <v>0</v>
      </c>
      <c r="M240">
        <v>0</v>
      </c>
      <c r="N240" s="5">
        <v>0</v>
      </c>
      <c r="O240">
        <v>0</v>
      </c>
    </row>
    <row r="241" spans="1:15" hidden="1" x14ac:dyDescent="0.25">
      <c r="A241" s="2" t="s">
        <v>1839</v>
      </c>
      <c r="B241" s="3">
        <v>43881</v>
      </c>
      <c r="C241" s="2" t="s">
        <v>1840</v>
      </c>
      <c r="D241" t="s">
        <v>6171</v>
      </c>
      <c r="E241" s="2">
        <v>4</v>
      </c>
      <c r="F241" s="2" t="s">
        <v>1841</v>
      </c>
      <c r="G241" s="4" t="s">
        <v>1842</v>
      </c>
      <c r="H241" s="2" t="s">
        <v>19</v>
      </c>
      <c r="I241" s="2" t="s">
        <v>154</v>
      </c>
      <c r="J241">
        <v>0</v>
      </c>
      <c r="K241">
        <v>0</v>
      </c>
      <c r="L241">
        <v>0</v>
      </c>
      <c r="M241">
        <v>0</v>
      </c>
      <c r="N241" s="5">
        <v>0</v>
      </c>
      <c r="O241">
        <v>0</v>
      </c>
    </row>
    <row r="242" spans="1:15" hidden="1" x14ac:dyDescent="0.25">
      <c r="A242" s="2" t="s">
        <v>1845</v>
      </c>
      <c r="B242" s="3">
        <v>43993</v>
      </c>
      <c r="C242" s="2" t="s">
        <v>1846</v>
      </c>
      <c r="D242" t="s">
        <v>6175</v>
      </c>
      <c r="E242" s="2">
        <v>6</v>
      </c>
      <c r="F242" s="2" t="s">
        <v>1847</v>
      </c>
      <c r="G242" s="4">
        <v>0</v>
      </c>
      <c r="H242" s="2" t="s">
        <v>19</v>
      </c>
      <c r="I242" s="2" t="s">
        <v>84</v>
      </c>
      <c r="J242">
        <v>0</v>
      </c>
      <c r="K242">
        <v>0</v>
      </c>
      <c r="L242">
        <v>0</v>
      </c>
      <c r="M242">
        <v>0</v>
      </c>
      <c r="N242" s="5">
        <v>0</v>
      </c>
      <c r="O242">
        <v>0</v>
      </c>
    </row>
    <row r="243" spans="1:15" hidden="1" x14ac:dyDescent="0.25">
      <c r="A243" s="2" t="s">
        <v>1849</v>
      </c>
      <c r="B243" s="3">
        <v>44082</v>
      </c>
      <c r="C243" s="2" t="s">
        <v>1850</v>
      </c>
      <c r="D243" t="s">
        <v>6151</v>
      </c>
      <c r="E243" s="2">
        <v>2</v>
      </c>
      <c r="F243" s="2" t="s">
        <v>1851</v>
      </c>
      <c r="G243" s="4">
        <v>0</v>
      </c>
      <c r="H243" s="2" t="s">
        <v>19</v>
      </c>
      <c r="I243" s="2" t="s">
        <v>64</v>
      </c>
      <c r="J243">
        <v>0</v>
      </c>
      <c r="K243">
        <v>0</v>
      </c>
      <c r="L243">
        <v>0</v>
      </c>
      <c r="M243">
        <v>0</v>
      </c>
      <c r="N243" s="5">
        <v>0</v>
      </c>
      <c r="O243">
        <v>0</v>
      </c>
    </row>
    <row r="244" spans="1:15" hidden="1" x14ac:dyDescent="0.25">
      <c r="A244" s="2" t="s">
        <v>1854</v>
      </c>
      <c r="B244" s="3">
        <v>43918</v>
      </c>
      <c r="C244" s="2" t="s">
        <v>1855</v>
      </c>
      <c r="D244" t="s">
        <v>6183</v>
      </c>
      <c r="E244" s="2">
        <v>3</v>
      </c>
      <c r="F244" s="2" t="s">
        <v>1856</v>
      </c>
      <c r="G244" s="4" t="s">
        <v>1857</v>
      </c>
      <c r="H244" s="2" t="s">
        <v>19</v>
      </c>
      <c r="I244" s="2" t="s">
        <v>131</v>
      </c>
      <c r="J244">
        <v>0</v>
      </c>
      <c r="K244">
        <v>0</v>
      </c>
      <c r="L244">
        <v>0</v>
      </c>
      <c r="M244">
        <v>0</v>
      </c>
      <c r="N244" s="5">
        <v>0</v>
      </c>
      <c r="O244">
        <v>0</v>
      </c>
    </row>
    <row r="245" spans="1:15" hidden="1" x14ac:dyDescent="0.25">
      <c r="A245" s="2" t="s">
        <v>1860</v>
      </c>
      <c r="B245" s="3">
        <v>44114</v>
      </c>
      <c r="C245" s="2" t="s">
        <v>1861</v>
      </c>
      <c r="D245" t="s">
        <v>6144</v>
      </c>
      <c r="E245" s="2">
        <v>4</v>
      </c>
      <c r="F245" s="2" t="s">
        <v>1862</v>
      </c>
      <c r="G245" s="4" t="s">
        <v>1863</v>
      </c>
      <c r="H245" s="2" t="s">
        <v>19</v>
      </c>
      <c r="I245" s="2" t="s">
        <v>137</v>
      </c>
      <c r="J245">
        <v>0</v>
      </c>
      <c r="K245">
        <v>0</v>
      </c>
      <c r="L245">
        <v>0</v>
      </c>
      <c r="M245">
        <v>0</v>
      </c>
      <c r="N245" s="5">
        <v>0</v>
      </c>
      <c r="O245">
        <v>0</v>
      </c>
    </row>
    <row r="246" spans="1:15" hidden="1" x14ac:dyDescent="0.25">
      <c r="A246" s="2" t="s">
        <v>1866</v>
      </c>
      <c r="B246" s="3">
        <v>44702</v>
      </c>
      <c r="C246" s="2" t="s">
        <v>1867</v>
      </c>
      <c r="D246" t="s">
        <v>6181</v>
      </c>
      <c r="E246" s="2">
        <v>4</v>
      </c>
      <c r="F246" s="2" t="s">
        <v>1868</v>
      </c>
      <c r="G246" s="4" t="s">
        <v>1869</v>
      </c>
      <c r="H246" s="2" t="s">
        <v>19</v>
      </c>
      <c r="I246" s="2" t="s">
        <v>73</v>
      </c>
      <c r="J246">
        <v>0</v>
      </c>
      <c r="K246">
        <v>0</v>
      </c>
      <c r="L246">
        <v>0</v>
      </c>
      <c r="M246">
        <v>0</v>
      </c>
      <c r="N246" s="5">
        <v>0</v>
      </c>
      <c r="O246">
        <v>0</v>
      </c>
    </row>
    <row r="247" spans="1:15" hidden="1" x14ac:dyDescent="0.25">
      <c r="A247" s="2" t="s">
        <v>1872</v>
      </c>
      <c r="B247" s="3">
        <v>43951</v>
      </c>
      <c r="C247" s="2" t="s">
        <v>1873</v>
      </c>
      <c r="D247" t="s">
        <v>6145</v>
      </c>
      <c r="E247" s="2">
        <v>5</v>
      </c>
      <c r="F247" s="2" t="s">
        <v>1874</v>
      </c>
      <c r="G247" s="4" t="s">
        <v>1875</v>
      </c>
      <c r="H247" s="2" t="s">
        <v>19</v>
      </c>
      <c r="I247" s="2" t="s">
        <v>32</v>
      </c>
      <c r="J247">
        <v>0</v>
      </c>
      <c r="K247">
        <v>0</v>
      </c>
      <c r="L247">
        <v>0</v>
      </c>
      <c r="M247">
        <v>0</v>
      </c>
      <c r="N247" s="5">
        <v>0</v>
      </c>
      <c r="O247">
        <v>0</v>
      </c>
    </row>
    <row r="248" spans="1:15" hidden="1" x14ac:dyDescent="0.25">
      <c r="A248" s="2" t="s">
        <v>1878</v>
      </c>
      <c r="B248" s="3">
        <v>44542</v>
      </c>
      <c r="C248" s="2" t="s">
        <v>1879</v>
      </c>
      <c r="D248" t="s">
        <v>6143</v>
      </c>
      <c r="E248" s="2">
        <v>3</v>
      </c>
      <c r="F248" s="2" t="s">
        <v>1880</v>
      </c>
      <c r="G248" s="4" t="s">
        <v>1881</v>
      </c>
      <c r="H248" s="2" t="s">
        <v>28</v>
      </c>
      <c r="I248" s="2" t="s">
        <v>229</v>
      </c>
      <c r="J248">
        <v>0</v>
      </c>
      <c r="K248">
        <v>0</v>
      </c>
      <c r="L248">
        <v>0</v>
      </c>
      <c r="M248">
        <v>0</v>
      </c>
      <c r="N248" s="5">
        <v>0</v>
      </c>
      <c r="O248">
        <v>0</v>
      </c>
    </row>
    <row r="249" spans="1:15" hidden="1" x14ac:dyDescent="0.25">
      <c r="A249" s="2" t="s">
        <v>1884</v>
      </c>
      <c r="B249" s="3">
        <v>44131</v>
      </c>
      <c r="C249" s="2" t="s">
        <v>1885</v>
      </c>
      <c r="D249" t="s">
        <v>6178</v>
      </c>
      <c r="E249" s="2">
        <v>6</v>
      </c>
      <c r="F249" s="2" t="s">
        <v>1886</v>
      </c>
      <c r="G249" s="4">
        <v>0</v>
      </c>
      <c r="H249" s="2" t="s">
        <v>318</v>
      </c>
      <c r="I249" s="2" t="s">
        <v>393</v>
      </c>
      <c r="J249">
        <v>0</v>
      </c>
      <c r="K249">
        <v>0</v>
      </c>
      <c r="L249">
        <v>0</v>
      </c>
      <c r="M249">
        <v>0</v>
      </c>
      <c r="N249" s="5">
        <v>0</v>
      </c>
      <c r="O249">
        <v>0</v>
      </c>
    </row>
    <row r="250" spans="1:15" hidden="1" x14ac:dyDescent="0.25">
      <c r="A250" s="2" t="s">
        <v>1889</v>
      </c>
      <c r="B250" s="3">
        <v>44019</v>
      </c>
      <c r="C250" s="2" t="s">
        <v>1890</v>
      </c>
      <c r="D250" t="s">
        <v>6147</v>
      </c>
      <c r="E250" s="2">
        <v>1</v>
      </c>
      <c r="F250" s="2" t="s">
        <v>1891</v>
      </c>
      <c r="G250" s="4" t="s">
        <v>1892</v>
      </c>
      <c r="H250" s="2" t="s">
        <v>19</v>
      </c>
      <c r="I250" s="2" t="s">
        <v>33</v>
      </c>
      <c r="J250">
        <v>0</v>
      </c>
      <c r="K250">
        <v>0</v>
      </c>
      <c r="L250">
        <v>0</v>
      </c>
      <c r="M250">
        <v>0</v>
      </c>
      <c r="N250" s="5">
        <v>0</v>
      </c>
      <c r="O250">
        <v>0</v>
      </c>
    </row>
    <row r="251" spans="1:15" hidden="1" x14ac:dyDescent="0.25">
      <c r="A251" s="2" t="s">
        <v>1895</v>
      </c>
      <c r="B251" s="3">
        <v>43861</v>
      </c>
      <c r="C251" s="2" t="s">
        <v>1935</v>
      </c>
      <c r="D251" t="s">
        <v>6170</v>
      </c>
      <c r="E251" s="2">
        <v>1</v>
      </c>
      <c r="F251" s="2" t="s">
        <v>1897</v>
      </c>
      <c r="G251" s="4">
        <v>0</v>
      </c>
      <c r="H251" s="2" t="s">
        <v>19</v>
      </c>
      <c r="I251" s="2" t="s">
        <v>150</v>
      </c>
      <c r="J251">
        <v>0</v>
      </c>
      <c r="K251">
        <v>0</v>
      </c>
      <c r="L251">
        <v>0</v>
      </c>
      <c r="M251">
        <v>0</v>
      </c>
      <c r="N251" s="5">
        <v>0</v>
      </c>
      <c r="O251">
        <v>0</v>
      </c>
    </row>
    <row r="252" spans="1:15" hidden="1" x14ac:dyDescent="0.25">
      <c r="A252" s="2" t="s">
        <v>1900</v>
      </c>
      <c r="B252" s="3">
        <v>43879</v>
      </c>
      <c r="C252" s="2" t="s">
        <v>1901</v>
      </c>
      <c r="D252" t="s">
        <v>6174</v>
      </c>
      <c r="E252" s="2">
        <v>1</v>
      </c>
      <c r="F252" s="2" t="s">
        <v>1902</v>
      </c>
      <c r="G252" s="4" t="s">
        <v>1903</v>
      </c>
      <c r="H252" s="2" t="s">
        <v>19</v>
      </c>
      <c r="I252" s="2" t="s">
        <v>35</v>
      </c>
      <c r="J252">
        <v>0</v>
      </c>
      <c r="K252">
        <v>0</v>
      </c>
      <c r="L252">
        <v>0</v>
      </c>
      <c r="M252">
        <v>0</v>
      </c>
      <c r="N252" s="5">
        <v>0</v>
      </c>
      <c r="O252">
        <v>0</v>
      </c>
    </row>
    <row r="253" spans="1:15" hidden="1" x14ac:dyDescent="0.25">
      <c r="A253" s="2" t="s">
        <v>1906</v>
      </c>
      <c r="B253" s="3">
        <v>44360</v>
      </c>
      <c r="C253" s="2" t="s">
        <v>1907</v>
      </c>
      <c r="D253" t="s">
        <v>6141</v>
      </c>
      <c r="E253" s="2">
        <v>5</v>
      </c>
      <c r="F253" s="2" t="s">
        <v>1908</v>
      </c>
      <c r="G253" s="4" t="s">
        <v>1909</v>
      </c>
      <c r="H253" s="2" t="s">
        <v>19</v>
      </c>
      <c r="I253" s="2" t="s">
        <v>184</v>
      </c>
      <c r="J253">
        <v>0</v>
      </c>
      <c r="K253">
        <v>0</v>
      </c>
      <c r="L253">
        <v>0</v>
      </c>
      <c r="M253">
        <v>0</v>
      </c>
      <c r="N253" s="5">
        <v>0</v>
      </c>
      <c r="O253">
        <v>0</v>
      </c>
    </row>
    <row r="254" spans="1:15" hidden="1" x14ac:dyDescent="0.25">
      <c r="A254" s="2" t="s">
        <v>1912</v>
      </c>
      <c r="B254" s="3">
        <v>44779</v>
      </c>
      <c r="C254" s="2" t="s">
        <v>1913</v>
      </c>
      <c r="D254" t="s">
        <v>6147</v>
      </c>
      <c r="E254" s="2">
        <v>3</v>
      </c>
      <c r="F254" s="2" t="s">
        <v>1914</v>
      </c>
      <c r="G254" s="4">
        <v>0</v>
      </c>
      <c r="H254" s="2" t="s">
        <v>19</v>
      </c>
      <c r="I254" s="2" t="s">
        <v>132</v>
      </c>
      <c r="J254">
        <v>0</v>
      </c>
      <c r="K254">
        <v>0</v>
      </c>
      <c r="L254">
        <v>0</v>
      </c>
      <c r="M254">
        <v>0</v>
      </c>
      <c r="N254" s="5">
        <v>0</v>
      </c>
      <c r="O254">
        <v>0</v>
      </c>
    </row>
    <row r="255" spans="1:15" hidden="1" x14ac:dyDescent="0.25">
      <c r="A255" s="2" t="s">
        <v>1917</v>
      </c>
      <c r="B255" s="3">
        <v>44523</v>
      </c>
      <c r="C255" s="2" t="s">
        <v>1918</v>
      </c>
      <c r="D255" t="s">
        <v>6162</v>
      </c>
      <c r="E255" s="2">
        <v>4</v>
      </c>
      <c r="F255" s="2" t="s">
        <v>1919</v>
      </c>
      <c r="G255" s="4" t="s">
        <v>1920</v>
      </c>
      <c r="H255" s="2" t="s">
        <v>19</v>
      </c>
      <c r="I255" s="2" t="s">
        <v>194</v>
      </c>
      <c r="J255">
        <v>0</v>
      </c>
      <c r="K255">
        <v>0</v>
      </c>
      <c r="L255">
        <v>0</v>
      </c>
      <c r="M255">
        <v>0</v>
      </c>
      <c r="N255" s="5">
        <v>0</v>
      </c>
      <c r="O255">
        <v>0</v>
      </c>
    </row>
    <row r="256" spans="1:15" hidden="1" x14ac:dyDescent="0.25">
      <c r="A256" s="2" t="s">
        <v>1923</v>
      </c>
      <c r="B256" s="3">
        <v>44482</v>
      </c>
      <c r="C256" s="2" t="s">
        <v>1924</v>
      </c>
      <c r="D256" t="s">
        <v>6173</v>
      </c>
      <c r="E256" s="2">
        <v>4</v>
      </c>
      <c r="F256" s="2" t="s">
        <v>1925</v>
      </c>
      <c r="G256" s="4" t="s">
        <v>1926</v>
      </c>
      <c r="H256" s="2" t="s">
        <v>28</v>
      </c>
      <c r="I256" s="2" t="s">
        <v>238</v>
      </c>
      <c r="J256">
        <v>0</v>
      </c>
      <c r="K256">
        <v>0</v>
      </c>
      <c r="L256">
        <v>0</v>
      </c>
      <c r="M256">
        <v>0</v>
      </c>
      <c r="N256" s="5">
        <v>0</v>
      </c>
      <c r="O256">
        <v>0</v>
      </c>
    </row>
    <row r="257" spans="1:15" hidden="1" x14ac:dyDescent="0.25">
      <c r="A257" s="2" t="s">
        <v>1928</v>
      </c>
      <c r="B257" s="3">
        <v>44439</v>
      </c>
      <c r="C257" s="2" t="s">
        <v>1929</v>
      </c>
      <c r="D257" t="s">
        <v>6173</v>
      </c>
      <c r="E257" s="2">
        <v>3</v>
      </c>
      <c r="F257" s="2" t="s">
        <v>1930</v>
      </c>
      <c r="G257" s="4" t="s">
        <v>1931</v>
      </c>
      <c r="H257" s="2" t="s">
        <v>19</v>
      </c>
      <c r="I257" s="2" t="s">
        <v>126</v>
      </c>
      <c r="J257">
        <v>0</v>
      </c>
      <c r="K257">
        <v>0</v>
      </c>
      <c r="L257">
        <v>0</v>
      </c>
      <c r="M257">
        <v>0</v>
      </c>
      <c r="N257" s="5">
        <v>0</v>
      </c>
      <c r="O257">
        <v>0</v>
      </c>
    </row>
    <row r="258" spans="1:15" hidden="1" x14ac:dyDescent="0.25">
      <c r="A258" s="2" t="s">
        <v>1934</v>
      </c>
      <c r="B258" s="3">
        <v>43846</v>
      </c>
      <c r="C258" s="2" t="s">
        <v>1935</v>
      </c>
      <c r="D258" t="s">
        <v>6160</v>
      </c>
      <c r="E258" s="2">
        <v>2</v>
      </c>
      <c r="F258" s="2" t="s">
        <v>1936</v>
      </c>
      <c r="G258" s="4" t="s">
        <v>1937</v>
      </c>
      <c r="H258" s="2" t="s">
        <v>19</v>
      </c>
      <c r="I258" s="2" t="s">
        <v>45</v>
      </c>
      <c r="J258">
        <v>0</v>
      </c>
      <c r="K258">
        <v>0</v>
      </c>
      <c r="L258">
        <v>0</v>
      </c>
      <c r="M258">
        <v>0</v>
      </c>
      <c r="N258" s="5">
        <v>0</v>
      </c>
      <c r="O258">
        <v>0</v>
      </c>
    </row>
    <row r="259" spans="1:15" hidden="1" x14ac:dyDescent="0.25">
      <c r="A259" s="2" t="s">
        <v>1940</v>
      </c>
      <c r="B259" s="3">
        <v>44676</v>
      </c>
      <c r="C259" s="2" t="s">
        <v>1941</v>
      </c>
      <c r="D259" t="s">
        <v>6185</v>
      </c>
      <c r="E259" s="2">
        <v>1</v>
      </c>
      <c r="F259" s="2" t="s">
        <v>1942</v>
      </c>
      <c r="G259" s="4" t="s">
        <v>1943</v>
      </c>
      <c r="H259" s="2" t="s">
        <v>19</v>
      </c>
      <c r="I259" s="2" t="s">
        <v>121</v>
      </c>
      <c r="J259">
        <v>0</v>
      </c>
      <c r="K259">
        <v>0</v>
      </c>
      <c r="L259">
        <v>0</v>
      </c>
      <c r="M259">
        <v>0</v>
      </c>
      <c r="N259" s="5">
        <v>0</v>
      </c>
      <c r="O259">
        <v>0</v>
      </c>
    </row>
    <row r="260" spans="1:15" hidden="1" x14ac:dyDescent="0.25">
      <c r="A260" s="2" t="s">
        <v>1946</v>
      </c>
      <c r="B260" s="3">
        <v>44513</v>
      </c>
      <c r="C260" s="2" t="s">
        <v>1947</v>
      </c>
      <c r="D260" t="s">
        <v>6185</v>
      </c>
      <c r="E260" s="2">
        <v>5</v>
      </c>
      <c r="F260" s="2" t="s">
        <v>1948</v>
      </c>
      <c r="G260" s="4" t="s">
        <v>1949</v>
      </c>
      <c r="H260" s="2" t="s">
        <v>19</v>
      </c>
      <c r="I260" s="2" t="s">
        <v>146</v>
      </c>
      <c r="J260">
        <v>0</v>
      </c>
      <c r="K260">
        <v>0</v>
      </c>
      <c r="L260">
        <v>0</v>
      </c>
      <c r="M260">
        <v>0</v>
      </c>
      <c r="N260" s="5">
        <v>0</v>
      </c>
      <c r="O260">
        <v>0</v>
      </c>
    </row>
    <row r="261" spans="1:15" hidden="1" x14ac:dyDescent="0.25">
      <c r="A261" s="2" t="s">
        <v>1952</v>
      </c>
      <c r="B261" s="3">
        <v>44355</v>
      </c>
      <c r="C261" s="2" t="s">
        <v>1953</v>
      </c>
      <c r="D261" t="s">
        <v>6174</v>
      </c>
      <c r="E261" s="2">
        <v>2</v>
      </c>
      <c r="F261" s="2" t="s">
        <v>1954</v>
      </c>
      <c r="G261" s="4" t="s">
        <v>1955</v>
      </c>
      <c r="H261" s="2" t="s">
        <v>28</v>
      </c>
      <c r="I261" s="2" t="s">
        <v>176</v>
      </c>
      <c r="J261">
        <v>0</v>
      </c>
      <c r="K261">
        <v>0</v>
      </c>
      <c r="L261">
        <v>0</v>
      </c>
      <c r="M261">
        <v>0</v>
      </c>
      <c r="N261" s="5">
        <v>0</v>
      </c>
      <c r="O261">
        <v>0</v>
      </c>
    </row>
    <row r="262" spans="1:15" hidden="1" x14ac:dyDescent="0.25">
      <c r="A262" s="2" t="s">
        <v>1958</v>
      </c>
      <c r="B262" s="3">
        <v>44156</v>
      </c>
      <c r="C262" s="2" t="s">
        <v>1959</v>
      </c>
      <c r="D262" t="s">
        <v>6142</v>
      </c>
      <c r="E262" s="2">
        <v>1</v>
      </c>
      <c r="F262" s="2" t="s">
        <v>1960</v>
      </c>
      <c r="G262" s="4" t="s">
        <v>1961</v>
      </c>
      <c r="H262" s="2" t="s">
        <v>19</v>
      </c>
      <c r="I262" s="2" t="s">
        <v>104</v>
      </c>
      <c r="J262">
        <v>0</v>
      </c>
      <c r="K262">
        <v>0</v>
      </c>
      <c r="L262">
        <v>0</v>
      </c>
      <c r="M262">
        <v>0</v>
      </c>
      <c r="N262" s="5">
        <v>0</v>
      </c>
      <c r="O262">
        <v>0</v>
      </c>
    </row>
    <row r="263" spans="1:15" hidden="1" x14ac:dyDescent="0.25">
      <c r="A263" s="2" t="s">
        <v>1963</v>
      </c>
      <c r="B263" s="3">
        <v>43538</v>
      </c>
      <c r="C263" s="2" t="s">
        <v>1964</v>
      </c>
      <c r="D263" t="s">
        <v>6179</v>
      </c>
      <c r="E263" s="2">
        <v>5</v>
      </c>
      <c r="F263" s="2" t="s">
        <v>1965</v>
      </c>
      <c r="G263" s="4" t="s">
        <v>1966</v>
      </c>
      <c r="H263" s="2" t="s">
        <v>19</v>
      </c>
      <c r="I263" s="2" t="s">
        <v>179</v>
      </c>
      <c r="J263">
        <v>0</v>
      </c>
      <c r="K263">
        <v>0</v>
      </c>
      <c r="L263">
        <v>0</v>
      </c>
      <c r="M263">
        <v>0</v>
      </c>
      <c r="N263" s="5">
        <v>0</v>
      </c>
      <c r="O263">
        <v>0</v>
      </c>
    </row>
    <row r="264" spans="1:15" hidden="1" x14ac:dyDescent="0.25">
      <c r="A264" s="2" t="s">
        <v>1969</v>
      </c>
      <c r="B264" s="3">
        <v>43693</v>
      </c>
      <c r="C264" s="2" t="s">
        <v>1970</v>
      </c>
      <c r="D264" t="s">
        <v>6141</v>
      </c>
      <c r="E264" s="2">
        <v>3</v>
      </c>
      <c r="F264" s="2" t="s">
        <v>1971</v>
      </c>
      <c r="G264" s="4" t="s">
        <v>1972</v>
      </c>
      <c r="H264" s="2" t="s">
        <v>19</v>
      </c>
      <c r="I264" s="2" t="s">
        <v>134</v>
      </c>
      <c r="J264">
        <v>0</v>
      </c>
      <c r="K264">
        <v>0</v>
      </c>
      <c r="L264">
        <v>0</v>
      </c>
      <c r="M264">
        <v>0</v>
      </c>
      <c r="N264" s="5">
        <v>0</v>
      </c>
      <c r="O264">
        <v>0</v>
      </c>
    </row>
    <row r="265" spans="1:15" hidden="1" x14ac:dyDescent="0.25">
      <c r="A265" s="2" t="s">
        <v>1975</v>
      </c>
      <c r="B265" s="3">
        <v>43577</v>
      </c>
      <c r="C265" s="2" t="s">
        <v>1976</v>
      </c>
      <c r="D265" t="s">
        <v>6181</v>
      </c>
      <c r="E265" s="2">
        <v>4</v>
      </c>
      <c r="F265" s="2" t="s">
        <v>1977</v>
      </c>
      <c r="G265" s="4">
        <v>0</v>
      </c>
      <c r="H265" s="2" t="s">
        <v>19</v>
      </c>
      <c r="I265" s="2" t="s">
        <v>38</v>
      </c>
      <c r="J265">
        <v>0</v>
      </c>
      <c r="K265">
        <v>0</v>
      </c>
      <c r="L265">
        <v>0</v>
      </c>
      <c r="M265">
        <v>0</v>
      </c>
      <c r="N265" s="5">
        <v>0</v>
      </c>
      <c r="O265">
        <v>0</v>
      </c>
    </row>
    <row r="266" spans="1:15" hidden="1" x14ac:dyDescent="0.25">
      <c r="A266" s="2" t="s">
        <v>1980</v>
      </c>
      <c r="B266" s="3">
        <v>44683</v>
      </c>
      <c r="C266" s="2" t="s">
        <v>1981</v>
      </c>
      <c r="D266" t="s">
        <v>6179</v>
      </c>
      <c r="E266" s="2">
        <v>5</v>
      </c>
      <c r="F266" s="2" t="s">
        <v>1982</v>
      </c>
      <c r="G266" s="4">
        <v>0</v>
      </c>
      <c r="H266" s="2" t="s">
        <v>318</v>
      </c>
      <c r="I266" s="2" t="s">
        <v>1985</v>
      </c>
      <c r="J266">
        <v>0</v>
      </c>
      <c r="K266">
        <v>0</v>
      </c>
      <c r="L266">
        <v>0</v>
      </c>
      <c r="M266">
        <v>0</v>
      </c>
      <c r="N266" s="5">
        <v>0</v>
      </c>
      <c r="O266">
        <v>0</v>
      </c>
    </row>
    <row r="267" spans="1:15" hidden="1" x14ac:dyDescent="0.25">
      <c r="A267" s="2" t="s">
        <v>1986</v>
      </c>
      <c r="B267" s="3">
        <v>43872</v>
      </c>
      <c r="C267" s="2" t="s">
        <v>1987</v>
      </c>
      <c r="D267" t="s">
        <v>6158</v>
      </c>
      <c r="E267" s="2">
        <v>1</v>
      </c>
      <c r="F267" s="2" t="s">
        <v>1988</v>
      </c>
      <c r="G267" s="4" t="s">
        <v>1989</v>
      </c>
      <c r="H267" s="2" t="s">
        <v>19</v>
      </c>
      <c r="I267" s="2" t="s">
        <v>88</v>
      </c>
      <c r="J267">
        <v>0</v>
      </c>
      <c r="K267">
        <v>0</v>
      </c>
      <c r="L267">
        <v>0</v>
      </c>
      <c r="M267">
        <v>0</v>
      </c>
      <c r="N267" s="5">
        <v>0</v>
      </c>
      <c r="O267">
        <v>0</v>
      </c>
    </row>
    <row r="268" spans="1:15" hidden="1" x14ac:dyDescent="0.25">
      <c r="A268" s="2" t="s">
        <v>1992</v>
      </c>
      <c r="B268" s="3">
        <v>44283</v>
      </c>
      <c r="C268" s="2" t="s">
        <v>1993</v>
      </c>
      <c r="D268" t="s">
        <v>6183</v>
      </c>
      <c r="E268" s="2">
        <v>2</v>
      </c>
      <c r="F268" s="2" t="s">
        <v>1994</v>
      </c>
      <c r="G268" s="4" t="s">
        <v>1995</v>
      </c>
      <c r="H268" s="2" t="s">
        <v>28</v>
      </c>
      <c r="I268" s="2" t="s">
        <v>280</v>
      </c>
      <c r="J268">
        <v>0</v>
      </c>
      <c r="K268">
        <v>0</v>
      </c>
      <c r="L268">
        <v>0</v>
      </c>
      <c r="M268">
        <v>0</v>
      </c>
      <c r="N268" s="5">
        <v>0</v>
      </c>
      <c r="O268">
        <v>0</v>
      </c>
    </row>
    <row r="269" spans="1:15" hidden="1" x14ac:dyDescent="0.25">
      <c r="A269" s="2" t="s">
        <v>1998</v>
      </c>
      <c r="B269" s="3">
        <v>44324</v>
      </c>
      <c r="C269" s="2" t="s">
        <v>1999</v>
      </c>
      <c r="D269" t="s">
        <v>6153</v>
      </c>
      <c r="E269" s="2">
        <v>6</v>
      </c>
      <c r="F269" s="2" t="s">
        <v>2000</v>
      </c>
      <c r="G269" s="4" t="s">
        <v>2001</v>
      </c>
      <c r="H269" s="2" t="s">
        <v>19</v>
      </c>
      <c r="I269" s="2" t="s">
        <v>351</v>
      </c>
      <c r="J269">
        <v>0</v>
      </c>
      <c r="K269">
        <v>0</v>
      </c>
      <c r="L269">
        <v>0</v>
      </c>
      <c r="M269">
        <v>0</v>
      </c>
      <c r="N269" s="5">
        <v>0</v>
      </c>
      <c r="O269">
        <v>0</v>
      </c>
    </row>
    <row r="270" spans="1:15" hidden="1" x14ac:dyDescent="0.25">
      <c r="A270" s="2" t="s">
        <v>2004</v>
      </c>
      <c r="B270" s="3">
        <v>43790</v>
      </c>
      <c r="C270" s="2" t="s">
        <v>1672</v>
      </c>
      <c r="D270" t="s">
        <v>6147</v>
      </c>
      <c r="E270" s="2">
        <v>2</v>
      </c>
      <c r="F270" s="2" t="s">
        <v>2006</v>
      </c>
      <c r="G270" s="4">
        <v>0</v>
      </c>
      <c r="H270" s="2" t="s">
        <v>19</v>
      </c>
      <c r="I270" s="2" t="s">
        <v>242</v>
      </c>
      <c r="J270">
        <v>0</v>
      </c>
      <c r="K270">
        <v>0</v>
      </c>
      <c r="L270">
        <v>0</v>
      </c>
      <c r="M270">
        <v>0</v>
      </c>
      <c r="N270" s="5">
        <v>0</v>
      </c>
      <c r="O270">
        <v>0</v>
      </c>
    </row>
    <row r="271" spans="1:15" hidden="1" x14ac:dyDescent="0.25">
      <c r="A271" s="2" t="s">
        <v>2009</v>
      </c>
      <c r="B271" s="3">
        <v>44333</v>
      </c>
      <c r="C271" s="2" t="s">
        <v>2010</v>
      </c>
      <c r="D271" t="s">
        <v>6154</v>
      </c>
      <c r="E271" s="2">
        <v>2</v>
      </c>
      <c r="F271" s="2" t="s">
        <v>2011</v>
      </c>
      <c r="G271" s="4" t="s">
        <v>2012</v>
      </c>
      <c r="H271" s="2" t="s">
        <v>19</v>
      </c>
      <c r="I271" s="2" t="s">
        <v>190</v>
      </c>
      <c r="J271">
        <v>0</v>
      </c>
      <c r="K271">
        <v>0</v>
      </c>
      <c r="L271">
        <v>0</v>
      </c>
      <c r="M271">
        <v>0</v>
      </c>
      <c r="N271" s="5">
        <v>0</v>
      </c>
      <c r="O271">
        <v>0</v>
      </c>
    </row>
    <row r="272" spans="1:15" hidden="1" x14ac:dyDescent="0.25">
      <c r="A272" s="2" t="s">
        <v>2015</v>
      </c>
      <c r="B272" s="3">
        <v>43655</v>
      </c>
      <c r="C272" s="2" t="s">
        <v>2016</v>
      </c>
      <c r="D272" t="s">
        <v>6144</v>
      </c>
      <c r="E272" s="2">
        <v>1</v>
      </c>
      <c r="F272" s="2" t="s">
        <v>2017</v>
      </c>
      <c r="G272" s="4">
        <v>0</v>
      </c>
      <c r="H272" s="2" t="s">
        <v>318</v>
      </c>
      <c r="I272" s="2" t="s">
        <v>441</v>
      </c>
      <c r="J272">
        <v>0</v>
      </c>
      <c r="K272">
        <v>0</v>
      </c>
      <c r="L272">
        <v>0</v>
      </c>
      <c r="M272">
        <v>0</v>
      </c>
      <c r="N272" s="5">
        <v>0</v>
      </c>
      <c r="O272">
        <v>0</v>
      </c>
    </row>
    <row r="273" spans="1:15" hidden="1" x14ac:dyDescent="0.25">
      <c r="A273" s="2" t="s">
        <v>2019</v>
      </c>
      <c r="B273" s="3">
        <v>43971</v>
      </c>
      <c r="C273" s="2" t="s">
        <v>2020</v>
      </c>
      <c r="D273" t="s">
        <v>6154</v>
      </c>
      <c r="E273" s="2">
        <v>4</v>
      </c>
      <c r="F273" s="2" t="s">
        <v>2021</v>
      </c>
      <c r="G273" s="4" t="s">
        <v>2022</v>
      </c>
      <c r="H273" s="2" t="s">
        <v>19</v>
      </c>
      <c r="I273" s="2" t="s">
        <v>335</v>
      </c>
      <c r="J273">
        <v>0</v>
      </c>
      <c r="K273">
        <v>0</v>
      </c>
      <c r="L273">
        <v>0</v>
      </c>
      <c r="M273">
        <v>0</v>
      </c>
      <c r="N273" s="5">
        <v>0</v>
      </c>
      <c r="O273">
        <v>0</v>
      </c>
    </row>
    <row r="274" spans="1:15" hidden="1" x14ac:dyDescent="0.25">
      <c r="A274" s="2" t="s">
        <v>2025</v>
      </c>
      <c r="B274" s="3">
        <v>44435</v>
      </c>
      <c r="C274" s="2" t="s">
        <v>2026</v>
      </c>
      <c r="D274" t="s">
        <v>6179</v>
      </c>
      <c r="E274" s="2">
        <v>6</v>
      </c>
      <c r="F274" s="2" t="s">
        <v>2027</v>
      </c>
      <c r="G274" s="4" t="s">
        <v>2028</v>
      </c>
      <c r="H274" s="2" t="s">
        <v>318</v>
      </c>
      <c r="I274" s="2" t="s">
        <v>2031</v>
      </c>
      <c r="J274">
        <v>0</v>
      </c>
      <c r="K274">
        <v>0</v>
      </c>
      <c r="L274">
        <v>0</v>
      </c>
      <c r="M274">
        <v>0</v>
      </c>
      <c r="N274" s="5">
        <v>0</v>
      </c>
      <c r="O274">
        <v>0</v>
      </c>
    </row>
    <row r="275" spans="1:15" hidden="1" x14ac:dyDescent="0.25">
      <c r="A275" s="2" t="s">
        <v>2032</v>
      </c>
      <c r="B275" s="3">
        <v>44681</v>
      </c>
      <c r="C275" s="2" t="s">
        <v>2033</v>
      </c>
      <c r="D275" t="s">
        <v>6167</v>
      </c>
      <c r="E275" s="2">
        <v>2</v>
      </c>
      <c r="F275" s="2" t="s">
        <v>2034</v>
      </c>
      <c r="G275" s="4" t="s">
        <v>2035</v>
      </c>
      <c r="H275" s="2" t="s">
        <v>19</v>
      </c>
      <c r="I275" s="2" t="s">
        <v>57</v>
      </c>
      <c r="J275">
        <v>0</v>
      </c>
      <c r="K275">
        <v>0</v>
      </c>
      <c r="L275">
        <v>0</v>
      </c>
      <c r="M275">
        <v>0</v>
      </c>
      <c r="N275" s="5">
        <v>0</v>
      </c>
      <c r="O275">
        <v>0</v>
      </c>
    </row>
    <row r="276" spans="1:15" hidden="1" x14ac:dyDescent="0.25">
      <c r="A276" s="2" t="s">
        <v>2038</v>
      </c>
      <c r="B276" s="3">
        <v>43985</v>
      </c>
      <c r="C276" s="2" t="s">
        <v>2039</v>
      </c>
      <c r="D276" t="s">
        <v>6175</v>
      </c>
      <c r="E276" s="2">
        <v>1</v>
      </c>
      <c r="F276" s="2" t="s">
        <v>2040</v>
      </c>
      <c r="G276" s="4" t="s">
        <v>2041</v>
      </c>
      <c r="H276" s="2" t="s">
        <v>19</v>
      </c>
      <c r="I276" s="2" t="s">
        <v>165</v>
      </c>
      <c r="J276">
        <v>0</v>
      </c>
      <c r="K276">
        <v>0</v>
      </c>
      <c r="L276">
        <v>0</v>
      </c>
      <c r="M276">
        <v>0</v>
      </c>
      <c r="N276" s="5">
        <v>0</v>
      </c>
      <c r="O276">
        <v>0</v>
      </c>
    </row>
    <row r="277" spans="1:15" hidden="1" x14ac:dyDescent="0.25">
      <c r="A277" s="2" t="s">
        <v>2044</v>
      </c>
      <c r="B277" s="3">
        <v>44725</v>
      </c>
      <c r="C277" s="2" t="s">
        <v>2045</v>
      </c>
      <c r="D277" t="s">
        <v>6148</v>
      </c>
      <c r="E277" s="2">
        <v>6</v>
      </c>
      <c r="F277" s="2" t="s">
        <v>2046</v>
      </c>
      <c r="G277" s="4" t="s">
        <v>2047</v>
      </c>
      <c r="H277" s="2" t="s">
        <v>19</v>
      </c>
      <c r="I277" s="2" t="s">
        <v>260</v>
      </c>
      <c r="J277">
        <v>0</v>
      </c>
      <c r="K277">
        <v>0</v>
      </c>
      <c r="L277">
        <v>0</v>
      </c>
      <c r="M277">
        <v>0</v>
      </c>
      <c r="N277" s="5">
        <v>0</v>
      </c>
      <c r="O277">
        <v>0</v>
      </c>
    </row>
    <row r="278" spans="1:15" hidden="1" x14ac:dyDescent="0.25">
      <c r="A278" s="2" t="s">
        <v>2050</v>
      </c>
      <c r="B278" s="3">
        <v>43992</v>
      </c>
      <c r="C278" s="2" t="s">
        <v>2051</v>
      </c>
      <c r="D278" t="s">
        <v>6142</v>
      </c>
      <c r="E278" s="2">
        <v>4</v>
      </c>
      <c r="F278" s="2" t="s">
        <v>2052</v>
      </c>
      <c r="G278" s="4" t="s">
        <v>2053</v>
      </c>
      <c r="H278" s="2" t="s">
        <v>318</v>
      </c>
      <c r="I278" s="2" t="s">
        <v>325</v>
      </c>
      <c r="J278">
        <v>0</v>
      </c>
      <c r="K278">
        <v>0</v>
      </c>
      <c r="L278">
        <v>0</v>
      </c>
      <c r="M278">
        <v>0</v>
      </c>
      <c r="N278" s="5">
        <v>0</v>
      </c>
      <c r="O278">
        <v>0</v>
      </c>
    </row>
    <row r="279" spans="1:15" hidden="1" x14ac:dyDescent="0.25">
      <c r="A279" s="2" t="s">
        <v>2056</v>
      </c>
      <c r="B279" s="3">
        <v>44183</v>
      </c>
      <c r="C279" s="2" t="s">
        <v>2057</v>
      </c>
      <c r="D279" t="s">
        <v>6171</v>
      </c>
      <c r="E279" s="2">
        <v>6</v>
      </c>
      <c r="F279" s="2" t="s">
        <v>2058</v>
      </c>
      <c r="G279" s="4" t="s">
        <v>2059</v>
      </c>
      <c r="H279" s="2" t="s">
        <v>19</v>
      </c>
      <c r="I279" s="2" t="s">
        <v>60</v>
      </c>
      <c r="J279">
        <v>0</v>
      </c>
      <c r="K279">
        <v>0</v>
      </c>
      <c r="L279">
        <v>0</v>
      </c>
      <c r="M279">
        <v>0</v>
      </c>
      <c r="N279" s="5">
        <v>0</v>
      </c>
      <c r="O279">
        <v>0</v>
      </c>
    </row>
    <row r="280" spans="1:15" hidden="1" x14ac:dyDescent="0.25">
      <c r="A280" s="2" t="s">
        <v>2062</v>
      </c>
      <c r="B280" s="3">
        <v>43708</v>
      </c>
      <c r="C280" s="2" t="s">
        <v>2063</v>
      </c>
      <c r="D280" t="s">
        <v>6167</v>
      </c>
      <c r="E280" s="2">
        <v>2</v>
      </c>
      <c r="F280" s="2" t="s">
        <v>2064</v>
      </c>
      <c r="G280" s="4" t="s">
        <v>2065</v>
      </c>
      <c r="H280" s="2" t="s">
        <v>19</v>
      </c>
      <c r="I280" s="2" t="s">
        <v>66</v>
      </c>
      <c r="J280">
        <v>0</v>
      </c>
      <c r="K280">
        <v>0</v>
      </c>
      <c r="L280">
        <v>0</v>
      </c>
      <c r="M280">
        <v>0</v>
      </c>
      <c r="N280" s="5">
        <v>0</v>
      </c>
      <c r="O280">
        <v>0</v>
      </c>
    </row>
    <row r="281" spans="1:15" hidden="1" x14ac:dyDescent="0.25">
      <c r="A281" s="2" t="s">
        <v>2068</v>
      </c>
      <c r="B281" s="3">
        <v>43521</v>
      </c>
      <c r="C281" s="2" t="s">
        <v>2069</v>
      </c>
      <c r="D281" t="s">
        <v>6181</v>
      </c>
      <c r="E281" s="2">
        <v>1</v>
      </c>
      <c r="F281" s="2" t="s">
        <v>2070</v>
      </c>
      <c r="G281" s="4" t="s">
        <v>2071</v>
      </c>
      <c r="H281" s="2" t="s">
        <v>19</v>
      </c>
      <c r="I281" s="2" t="s">
        <v>104</v>
      </c>
      <c r="J281">
        <v>0</v>
      </c>
      <c r="K281">
        <v>0</v>
      </c>
      <c r="L281">
        <v>0</v>
      </c>
      <c r="M281">
        <v>0</v>
      </c>
      <c r="N281" s="5">
        <v>0</v>
      </c>
      <c r="O281">
        <v>0</v>
      </c>
    </row>
    <row r="282" spans="1:15" hidden="1" x14ac:dyDescent="0.25">
      <c r="A282" s="2" t="s">
        <v>2074</v>
      </c>
      <c r="B282" s="3">
        <v>44234</v>
      </c>
      <c r="C282" s="2" t="s">
        <v>2075</v>
      </c>
      <c r="D282" t="s">
        <v>6139</v>
      </c>
      <c r="E282" s="2">
        <v>5</v>
      </c>
      <c r="F282" s="2" t="s">
        <v>2076</v>
      </c>
      <c r="G282" s="4">
        <v>0</v>
      </c>
      <c r="H282" s="2" t="s">
        <v>19</v>
      </c>
      <c r="I282" s="2" t="s">
        <v>189</v>
      </c>
      <c r="J282">
        <v>0</v>
      </c>
      <c r="K282">
        <v>0</v>
      </c>
      <c r="L282">
        <v>0</v>
      </c>
      <c r="M282">
        <v>0</v>
      </c>
      <c r="N282" s="5">
        <v>0</v>
      </c>
      <c r="O282">
        <v>0</v>
      </c>
    </row>
    <row r="283" spans="1:15" hidden="1" x14ac:dyDescent="0.25">
      <c r="A283" s="2" t="s">
        <v>2079</v>
      </c>
      <c r="B283" s="3">
        <v>44210</v>
      </c>
      <c r="C283" s="2" t="s">
        <v>2080</v>
      </c>
      <c r="D283" t="s">
        <v>6171</v>
      </c>
      <c r="E283" s="2">
        <v>4</v>
      </c>
      <c r="F283" s="2" t="s">
        <v>2081</v>
      </c>
      <c r="G283" s="4" t="s">
        <v>2082</v>
      </c>
      <c r="H283" s="2" t="s">
        <v>19</v>
      </c>
      <c r="I283" s="2" t="s">
        <v>112</v>
      </c>
      <c r="J283">
        <v>0</v>
      </c>
      <c r="K283">
        <v>0</v>
      </c>
      <c r="L283">
        <v>0</v>
      </c>
      <c r="M283">
        <v>0</v>
      </c>
      <c r="N283" s="5">
        <v>0</v>
      </c>
      <c r="O283">
        <v>0</v>
      </c>
    </row>
    <row r="284" spans="1:15" hidden="1" x14ac:dyDescent="0.25">
      <c r="A284" s="2" t="s">
        <v>2085</v>
      </c>
      <c r="B284" s="3">
        <v>43520</v>
      </c>
      <c r="C284" s="2" t="s">
        <v>2086</v>
      </c>
      <c r="D284" t="s">
        <v>6180</v>
      </c>
      <c r="E284" s="2">
        <v>1</v>
      </c>
      <c r="F284" s="2" t="s">
        <v>2087</v>
      </c>
      <c r="G284" s="4" t="s">
        <v>2088</v>
      </c>
      <c r="H284" s="2" t="s">
        <v>28</v>
      </c>
      <c r="I284" s="2" t="s">
        <v>220</v>
      </c>
      <c r="J284">
        <v>0</v>
      </c>
      <c r="K284">
        <v>0</v>
      </c>
      <c r="L284">
        <v>0</v>
      </c>
      <c r="M284">
        <v>0</v>
      </c>
      <c r="N284" s="5">
        <v>0</v>
      </c>
      <c r="O284">
        <v>0</v>
      </c>
    </row>
    <row r="285" spans="1:15" hidden="1" x14ac:dyDescent="0.25">
      <c r="A285" s="2" t="s">
        <v>2091</v>
      </c>
      <c r="B285" s="3">
        <v>43639</v>
      </c>
      <c r="C285" s="2" t="s">
        <v>2092</v>
      </c>
      <c r="D285" t="s">
        <v>6172</v>
      </c>
      <c r="E285" s="2">
        <v>1</v>
      </c>
      <c r="F285" s="2" t="s">
        <v>2093</v>
      </c>
      <c r="G285" s="4" t="s">
        <v>2094</v>
      </c>
      <c r="H285" s="2" t="s">
        <v>28</v>
      </c>
      <c r="I285" s="2" t="s">
        <v>176</v>
      </c>
      <c r="J285">
        <v>0</v>
      </c>
      <c r="K285">
        <v>0</v>
      </c>
      <c r="L285">
        <v>0</v>
      </c>
      <c r="M285">
        <v>0</v>
      </c>
      <c r="N285" s="5">
        <v>0</v>
      </c>
      <c r="O285">
        <v>0</v>
      </c>
    </row>
    <row r="286" spans="1:15" hidden="1" x14ac:dyDescent="0.25">
      <c r="A286" s="2" t="s">
        <v>2097</v>
      </c>
      <c r="B286" s="3">
        <v>43960</v>
      </c>
      <c r="C286" s="2" t="s">
        <v>2098</v>
      </c>
      <c r="D286" t="s">
        <v>6166</v>
      </c>
      <c r="E286" s="2">
        <v>3</v>
      </c>
      <c r="F286" s="2" t="s">
        <v>2099</v>
      </c>
      <c r="G286" s="4">
        <v>0</v>
      </c>
      <c r="H286" s="2" t="s">
        <v>19</v>
      </c>
      <c r="I286" s="2" t="s">
        <v>44</v>
      </c>
      <c r="J286">
        <v>0</v>
      </c>
      <c r="K286">
        <v>0</v>
      </c>
      <c r="L286">
        <v>0</v>
      </c>
      <c r="M286">
        <v>0</v>
      </c>
      <c r="N286" s="5">
        <v>0</v>
      </c>
      <c r="O286">
        <v>0</v>
      </c>
    </row>
    <row r="287" spans="1:15" hidden="1" x14ac:dyDescent="0.25">
      <c r="A287" s="2" t="s">
        <v>2102</v>
      </c>
      <c r="B287" s="3">
        <v>44030</v>
      </c>
      <c r="C287" s="2" t="s">
        <v>2103</v>
      </c>
      <c r="D287" t="s">
        <v>6164</v>
      </c>
      <c r="E287" s="2">
        <v>1</v>
      </c>
      <c r="F287" s="2" t="s">
        <v>2104</v>
      </c>
      <c r="G287" s="4">
        <v>0</v>
      </c>
      <c r="H287" s="2" t="s">
        <v>19</v>
      </c>
      <c r="I287" s="2" t="s">
        <v>120</v>
      </c>
      <c r="J287">
        <v>0</v>
      </c>
      <c r="K287">
        <v>0</v>
      </c>
      <c r="L287">
        <v>0</v>
      </c>
      <c r="M287">
        <v>0</v>
      </c>
      <c r="N287" s="5">
        <v>0</v>
      </c>
      <c r="O287">
        <v>0</v>
      </c>
    </row>
    <row r="288" spans="1:15" hidden="1" x14ac:dyDescent="0.25">
      <c r="A288" s="2" t="s">
        <v>2107</v>
      </c>
      <c r="B288" s="3">
        <v>43755</v>
      </c>
      <c r="C288" s="2" t="s">
        <v>2108</v>
      </c>
      <c r="D288" t="s">
        <v>6152</v>
      </c>
      <c r="E288" s="2">
        <v>4</v>
      </c>
      <c r="F288" s="2" t="s">
        <v>2109</v>
      </c>
      <c r="G288" s="4" t="s">
        <v>2110</v>
      </c>
      <c r="H288" s="2" t="s">
        <v>19</v>
      </c>
      <c r="I288" s="2" t="s">
        <v>303</v>
      </c>
      <c r="J288">
        <v>0</v>
      </c>
      <c r="K288">
        <v>0</v>
      </c>
      <c r="L288">
        <v>0</v>
      </c>
      <c r="M288">
        <v>0</v>
      </c>
      <c r="N288" s="5">
        <v>0</v>
      </c>
      <c r="O288">
        <v>0</v>
      </c>
    </row>
    <row r="289" spans="1:15" hidden="1" x14ac:dyDescent="0.25">
      <c r="A289" s="2" t="s">
        <v>2112</v>
      </c>
      <c r="B289" s="3">
        <v>44697</v>
      </c>
      <c r="C289" s="2" t="s">
        <v>2113</v>
      </c>
      <c r="D289" t="s">
        <v>6178</v>
      </c>
      <c r="E289" s="2">
        <v>4</v>
      </c>
      <c r="F289" s="2" t="s">
        <v>2114</v>
      </c>
      <c r="G289" s="4" t="s">
        <v>2115</v>
      </c>
      <c r="H289" s="2" t="s">
        <v>19</v>
      </c>
      <c r="I289" s="2" t="s">
        <v>241</v>
      </c>
      <c r="J289">
        <v>0</v>
      </c>
      <c r="K289">
        <v>0</v>
      </c>
      <c r="L289">
        <v>0</v>
      </c>
      <c r="M289">
        <v>0</v>
      </c>
      <c r="N289" s="5">
        <v>0</v>
      </c>
      <c r="O289">
        <v>0</v>
      </c>
    </row>
    <row r="290" spans="1:15" hidden="1" x14ac:dyDescent="0.25">
      <c r="A290" s="2" t="s">
        <v>2118</v>
      </c>
      <c r="B290" s="3">
        <v>44279</v>
      </c>
      <c r="C290" s="2" t="s">
        <v>2119</v>
      </c>
      <c r="D290" t="s">
        <v>6139</v>
      </c>
      <c r="E290" s="2">
        <v>1</v>
      </c>
      <c r="F290" s="2" t="s">
        <v>2120</v>
      </c>
      <c r="G290" s="4">
        <v>0</v>
      </c>
      <c r="H290" s="2" t="s">
        <v>318</v>
      </c>
      <c r="I290" s="2" t="s">
        <v>403</v>
      </c>
      <c r="J290">
        <v>0</v>
      </c>
      <c r="K290">
        <v>0</v>
      </c>
      <c r="L290">
        <v>0</v>
      </c>
      <c r="M290">
        <v>0</v>
      </c>
      <c r="N290" s="5">
        <v>0</v>
      </c>
      <c r="O290">
        <v>0</v>
      </c>
    </row>
    <row r="291" spans="1:15" hidden="1" x14ac:dyDescent="0.25">
      <c r="A291" s="2" t="s">
        <v>2123</v>
      </c>
      <c r="B291" s="3">
        <v>43772</v>
      </c>
      <c r="C291" s="2" t="s">
        <v>2124</v>
      </c>
      <c r="D291" t="s">
        <v>6163</v>
      </c>
      <c r="E291" s="2">
        <v>5</v>
      </c>
      <c r="F291" s="2" t="s">
        <v>2125</v>
      </c>
      <c r="G291" s="4">
        <v>0</v>
      </c>
      <c r="H291" s="2" t="s">
        <v>19</v>
      </c>
      <c r="I291" s="2" t="s">
        <v>222</v>
      </c>
      <c r="J291">
        <v>0</v>
      </c>
      <c r="K291">
        <v>0</v>
      </c>
      <c r="L291">
        <v>0</v>
      </c>
      <c r="M291">
        <v>0</v>
      </c>
      <c r="N291" s="5">
        <v>0</v>
      </c>
      <c r="O291">
        <v>0</v>
      </c>
    </row>
    <row r="292" spans="1:15" hidden="1" x14ac:dyDescent="0.25">
      <c r="A292" s="2" t="s">
        <v>2127</v>
      </c>
      <c r="B292" s="3">
        <v>44497</v>
      </c>
      <c r="C292" s="2" t="s">
        <v>2128</v>
      </c>
      <c r="D292" t="s">
        <v>6147</v>
      </c>
      <c r="E292" s="2">
        <v>5</v>
      </c>
      <c r="F292" s="2" t="s">
        <v>2129</v>
      </c>
      <c r="G292" s="4" t="s">
        <v>2130</v>
      </c>
      <c r="H292" s="2" t="s">
        <v>19</v>
      </c>
      <c r="I292" s="2" t="s">
        <v>27</v>
      </c>
      <c r="J292">
        <v>0</v>
      </c>
      <c r="K292">
        <v>0</v>
      </c>
      <c r="L292">
        <v>0</v>
      </c>
      <c r="M292">
        <v>0</v>
      </c>
      <c r="N292" s="5">
        <v>0</v>
      </c>
      <c r="O292">
        <v>0</v>
      </c>
    </row>
    <row r="293" spans="1:15" hidden="1" x14ac:dyDescent="0.25">
      <c r="A293" s="2" t="s">
        <v>2133</v>
      </c>
      <c r="B293" s="3">
        <v>44181</v>
      </c>
      <c r="C293" s="2" t="s">
        <v>2134</v>
      </c>
      <c r="D293" t="s">
        <v>6139</v>
      </c>
      <c r="E293" s="2">
        <v>2</v>
      </c>
      <c r="F293" s="2" t="s">
        <v>2135</v>
      </c>
      <c r="G293" s="4">
        <v>0</v>
      </c>
      <c r="H293" s="2" t="s">
        <v>318</v>
      </c>
      <c r="I293" s="2" t="s">
        <v>447</v>
      </c>
      <c r="J293">
        <v>0</v>
      </c>
      <c r="K293">
        <v>0</v>
      </c>
      <c r="L293">
        <v>0</v>
      </c>
      <c r="M293">
        <v>0</v>
      </c>
      <c r="N293" s="5">
        <v>0</v>
      </c>
      <c r="O293">
        <v>0</v>
      </c>
    </row>
    <row r="294" spans="1:15" hidden="1" x14ac:dyDescent="0.25">
      <c r="A294" s="2" t="s">
        <v>2137</v>
      </c>
      <c r="B294" s="3">
        <v>44529</v>
      </c>
      <c r="C294" s="2" t="s">
        <v>2138</v>
      </c>
      <c r="D294" t="s">
        <v>6158</v>
      </c>
      <c r="E294" s="2">
        <v>3</v>
      </c>
      <c r="F294" s="2" t="s">
        <v>2139</v>
      </c>
      <c r="G294" s="4" t="s">
        <v>2140</v>
      </c>
      <c r="H294" s="2" t="s">
        <v>19</v>
      </c>
      <c r="I294" s="2" t="s">
        <v>144</v>
      </c>
      <c r="J294">
        <v>0</v>
      </c>
      <c r="K294">
        <v>0</v>
      </c>
      <c r="L294">
        <v>0</v>
      </c>
      <c r="M294">
        <v>0</v>
      </c>
      <c r="N294" s="5">
        <v>0</v>
      </c>
      <c r="O294">
        <v>0</v>
      </c>
    </row>
    <row r="295" spans="1:15" hidden="1" x14ac:dyDescent="0.25">
      <c r="A295" s="2" t="s">
        <v>2142</v>
      </c>
      <c r="B295" s="3">
        <v>44275</v>
      </c>
      <c r="C295" s="2" t="s">
        <v>2143</v>
      </c>
      <c r="D295" t="s">
        <v>6158</v>
      </c>
      <c r="E295" s="2">
        <v>5</v>
      </c>
      <c r="F295" s="2" t="s">
        <v>2144</v>
      </c>
      <c r="G295" s="4" t="s">
        <v>2145</v>
      </c>
      <c r="H295" s="2" t="s">
        <v>19</v>
      </c>
      <c r="I295" s="2" t="s">
        <v>164</v>
      </c>
      <c r="J295">
        <v>0</v>
      </c>
      <c r="K295">
        <v>0</v>
      </c>
      <c r="L295">
        <v>0</v>
      </c>
      <c r="M295">
        <v>0</v>
      </c>
      <c r="N295" s="5">
        <v>0</v>
      </c>
      <c r="O295">
        <v>0</v>
      </c>
    </row>
    <row r="296" spans="1:15" hidden="1" x14ac:dyDescent="0.25">
      <c r="A296" s="2" t="s">
        <v>2148</v>
      </c>
      <c r="B296" s="3">
        <v>44659</v>
      </c>
      <c r="C296" s="2" t="s">
        <v>2149</v>
      </c>
      <c r="D296" t="s">
        <v>6171</v>
      </c>
      <c r="E296" s="2">
        <v>3</v>
      </c>
      <c r="F296" s="2" t="s">
        <v>2150</v>
      </c>
      <c r="G296" s="4">
        <v>0</v>
      </c>
      <c r="H296" s="2" t="s">
        <v>19</v>
      </c>
      <c r="I296" s="2" t="s">
        <v>170</v>
      </c>
      <c r="J296">
        <v>0</v>
      </c>
      <c r="K296">
        <v>0</v>
      </c>
      <c r="L296">
        <v>0</v>
      </c>
      <c r="M296">
        <v>0</v>
      </c>
      <c r="N296" s="5">
        <v>0</v>
      </c>
      <c r="O296">
        <v>0</v>
      </c>
    </row>
    <row r="297" spans="1:15" hidden="1" x14ac:dyDescent="0.25">
      <c r="A297" s="2" t="s">
        <v>2153</v>
      </c>
      <c r="B297" s="3">
        <v>44057</v>
      </c>
      <c r="C297" s="2" t="s">
        <v>2154</v>
      </c>
      <c r="D297" t="s">
        <v>6141</v>
      </c>
      <c r="E297" s="2">
        <v>2</v>
      </c>
      <c r="F297" s="2" t="s">
        <v>2155</v>
      </c>
      <c r="G297" s="4">
        <v>0</v>
      </c>
      <c r="H297" s="2" t="s">
        <v>19</v>
      </c>
      <c r="I297" s="2" t="s">
        <v>198</v>
      </c>
      <c r="J297">
        <v>0</v>
      </c>
      <c r="K297">
        <v>0</v>
      </c>
      <c r="L297">
        <v>0</v>
      </c>
      <c r="M297">
        <v>0</v>
      </c>
      <c r="N297" s="5">
        <v>0</v>
      </c>
      <c r="O297">
        <v>0</v>
      </c>
    </row>
    <row r="298" spans="1:15" hidden="1" x14ac:dyDescent="0.25">
      <c r="A298" s="2" t="s">
        <v>2157</v>
      </c>
      <c r="B298" s="3">
        <v>43597</v>
      </c>
      <c r="C298" s="2" t="s">
        <v>2158</v>
      </c>
      <c r="D298" t="s">
        <v>6146</v>
      </c>
      <c r="E298" s="2">
        <v>6</v>
      </c>
      <c r="F298" s="2" t="s">
        <v>2159</v>
      </c>
      <c r="G298" s="4" t="s">
        <v>2160</v>
      </c>
      <c r="H298" s="2" t="s">
        <v>19</v>
      </c>
      <c r="I298" s="2" t="s">
        <v>267</v>
      </c>
      <c r="J298">
        <v>0</v>
      </c>
      <c r="K298">
        <v>0</v>
      </c>
      <c r="L298">
        <v>0</v>
      </c>
      <c r="M298">
        <v>0</v>
      </c>
      <c r="N298" s="5">
        <v>0</v>
      </c>
      <c r="O298">
        <v>0</v>
      </c>
    </row>
    <row r="299" spans="1:15" hidden="1" x14ac:dyDescent="0.25">
      <c r="A299" s="2" t="s">
        <v>2163</v>
      </c>
      <c r="B299" s="3">
        <v>44258</v>
      </c>
      <c r="C299" s="2" t="s">
        <v>2164</v>
      </c>
      <c r="D299" t="s">
        <v>6172</v>
      </c>
      <c r="E299" s="2">
        <v>3</v>
      </c>
      <c r="F299" s="2" t="s">
        <v>2165</v>
      </c>
      <c r="G299" s="4" t="s">
        <v>2166</v>
      </c>
      <c r="H299" s="2" t="s">
        <v>19</v>
      </c>
      <c r="I299" s="2" t="s">
        <v>195</v>
      </c>
      <c r="J299">
        <v>0</v>
      </c>
      <c r="K299">
        <v>0</v>
      </c>
      <c r="L299">
        <v>0</v>
      </c>
      <c r="M299">
        <v>0</v>
      </c>
      <c r="N299" s="5">
        <v>0</v>
      </c>
      <c r="O299">
        <v>0</v>
      </c>
    </row>
    <row r="300" spans="1:15" hidden="1" x14ac:dyDescent="0.25">
      <c r="A300" s="2" t="s">
        <v>2169</v>
      </c>
      <c r="B300" s="3">
        <v>43872</v>
      </c>
      <c r="C300" s="2" t="s">
        <v>2170</v>
      </c>
      <c r="D300" t="s">
        <v>6184</v>
      </c>
      <c r="E300" s="2">
        <v>6</v>
      </c>
      <c r="F300" s="2" t="s">
        <v>2171</v>
      </c>
      <c r="G300" s="4" t="s">
        <v>2172</v>
      </c>
      <c r="H300" s="2" t="s">
        <v>19</v>
      </c>
      <c r="I300" s="2" t="s">
        <v>84</v>
      </c>
      <c r="J300">
        <v>0</v>
      </c>
      <c r="K300">
        <v>0</v>
      </c>
      <c r="L300">
        <v>0</v>
      </c>
      <c r="M300">
        <v>0</v>
      </c>
      <c r="N300" s="5">
        <v>0</v>
      </c>
      <c r="O300">
        <v>0</v>
      </c>
    </row>
    <row r="301" spans="1:15" hidden="1" x14ac:dyDescent="0.25">
      <c r="A301" s="2" t="s">
        <v>2175</v>
      </c>
      <c r="B301" s="3">
        <v>43582</v>
      </c>
      <c r="C301" s="2" t="s">
        <v>2176</v>
      </c>
      <c r="D301" t="s">
        <v>6148</v>
      </c>
      <c r="E301" s="2">
        <v>6</v>
      </c>
      <c r="F301" s="2" t="s">
        <v>2177</v>
      </c>
      <c r="G301" s="4" t="s">
        <v>2178</v>
      </c>
      <c r="H301" s="2" t="s">
        <v>19</v>
      </c>
      <c r="I301" s="2" t="s">
        <v>228</v>
      </c>
      <c r="J301">
        <v>0</v>
      </c>
      <c r="K301">
        <v>0</v>
      </c>
      <c r="L301">
        <v>0</v>
      </c>
      <c r="M301">
        <v>0</v>
      </c>
      <c r="N301" s="5">
        <v>0</v>
      </c>
      <c r="O301">
        <v>0</v>
      </c>
    </row>
    <row r="302" spans="1:15" hidden="1" x14ac:dyDescent="0.25">
      <c r="A302" s="2" t="s">
        <v>2181</v>
      </c>
      <c r="B302" s="3">
        <v>44646</v>
      </c>
      <c r="C302" s="2" t="s">
        <v>2182</v>
      </c>
      <c r="D302" t="s">
        <v>6140</v>
      </c>
      <c r="E302" s="2">
        <v>3</v>
      </c>
      <c r="F302" s="2" t="s">
        <v>2183</v>
      </c>
      <c r="G302" s="4" t="s">
        <v>2184</v>
      </c>
      <c r="H302" s="2" t="s">
        <v>19</v>
      </c>
      <c r="I302" s="2" t="s">
        <v>73</v>
      </c>
      <c r="J302">
        <v>0</v>
      </c>
      <c r="K302">
        <v>0</v>
      </c>
      <c r="L302">
        <v>0</v>
      </c>
      <c r="M302">
        <v>0</v>
      </c>
      <c r="N302" s="5">
        <v>0</v>
      </c>
      <c r="O302">
        <v>0</v>
      </c>
    </row>
    <row r="303" spans="1:15" hidden="1" x14ac:dyDescent="0.25">
      <c r="A303" s="2" t="s">
        <v>2187</v>
      </c>
      <c r="B303" s="3">
        <v>44102</v>
      </c>
      <c r="C303" s="2" t="s">
        <v>2188</v>
      </c>
      <c r="D303" t="s">
        <v>6150</v>
      </c>
      <c r="E303" s="2">
        <v>4</v>
      </c>
      <c r="F303" s="2" t="s">
        <v>2189</v>
      </c>
      <c r="G303" s="4" t="s">
        <v>2190</v>
      </c>
      <c r="H303" s="2" t="s">
        <v>19</v>
      </c>
      <c r="I303" s="2" t="s">
        <v>123</v>
      </c>
      <c r="J303">
        <v>0</v>
      </c>
      <c r="K303">
        <v>0</v>
      </c>
      <c r="L303">
        <v>0</v>
      </c>
      <c r="M303">
        <v>0</v>
      </c>
      <c r="N303" s="5">
        <v>0</v>
      </c>
      <c r="O303">
        <v>0</v>
      </c>
    </row>
    <row r="304" spans="1:15" hidden="1" x14ac:dyDescent="0.25">
      <c r="A304" s="2" t="s">
        <v>2193</v>
      </c>
      <c r="B304" s="3">
        <v>43762</v>
      </c>
      <c r="C304" s="2" t="s">
        <v>2194</v>
      </c>
      <c r="D304" t="s">
        <v>6157</v>
      </c>
      <c r="E304" s="2">
        <v>1</v>
      </c>
      <c r="F304" s="2" t="s">
        <v>2195</v>
      </c>
      <c r="G304" s="4" t="s">
        <v>2196</v>
      </c>
      <c r="H304" s="2" t="s">
        <v>19</v>
      </c>
      <c r="I304" s="2" t="s">
        <v>20</v>
      </c>
      <c r="J304">
        <v>0</v>
      </c>
      <c r="K304">
        <v>0</v>
      </c>
      <c r="L304">
        <v>0</v>
      </c>
      <c r="M304">
        <v>0</v>
      </c>
      <c r="N304" s="5">
        <v>0</v>
      </c>
      <c r="O304">
        <v>0</v>
      </c>
    </row>
    <row r="305" spans="1:15" hidden="1" x14ac:dyDescent="0.25">
      <c r="A305" s="2" t="s">
        <v>2199</v>
      </c>
      <c r="B305" s="3">
        <v>44412</v>
      </c>
      <c r="C305" s="2" t="s">
        <v>2200</v>
      </c>
      <c r="D305" t="s">
        <v>6185</v>
      </c>
      <c r="E305" s="2">
        <v>4</v>
      </c>
      <c r="F305" s="2" t="s">
        <v>2201</v>
      </c>
      <c r="G305" s="4" t="s">
        <v>2202</v>
      </c>
      <c r="H305" s="2" t="s">
        <v>19</v>
      </c>
      <c r="I305" s="2" t="s">
        <v>43</v>
      </c>
      <c r="J305">
        <v>0</v>
      </c>
      <c r="K305">
        <v>0</v>
      </c>
      <c r="L305">
        <v>0</v>
      </c>
      <c r="M305">
        <v>0</v>
      </c>
      <c r="N305" s="5">
        <v>0</v>
      </c>
      <c r="O305">
        <v>0</v>
      </c>
    </row>
    <row r="306" spans="1:15" hidden="1" x14ac:dyDescent="0.25">
      <c r="A306" s="2" t="s">
        <v>2204</v>
      </c>
      <c r="B306" s="3">
        <v>43828</v>
      </c>
      <c r="C306" s="2" t="s">
        <v>2245</v>
      </c>
      <c r="D306" t="s">
        <v>6167</v>
      </c>
      <c r="E306" s="2">
        <v>1</v>
      </c>
      <c r="F306" s="2" t="s">
        <v>2206</v>
      </c>
      <c r="G306" s="4" t="s">
        <v>2207</v>
      </c>
      <c r="H306" s="2" t="s">
        <v>19</v>
      </c>
      <c r="I306" s="2" t="s">
        <v>316</v>
      </c>
      <c r="J306">
        <v>0</v>
      </c>
      <c r="K306">
        <v>0</v>
      </c>
      <c r="L306">
        <v>0</v>
      </c>
      <c r="M306">
        <v>0</v>
      </c>
      <c r="N306" s="5">
        <v>0</v>
      </c>
      <c r="O306">
        <v>0</v>
      </c>
    </row>
    <row r="307" spans="1:15" hidden="1" x14ac:dyDescent="0.25">
      <c r="A307" s="2" t="s">
        <v>2209</v>
      </c>
      <c r="B307" s="3">
        <v>43796</v>
      </c>
      <c r="C307" s="2" t="s">
        <v>2210</v>
      </c>
      <c r="D307" t="s">
        <v>6159</v>
      </c>
      <c r="E307" s="2">
        <v>5</v>
      </c>
      <c r="F307" s="2" t="s">
        <v>2211</v>
      </c>
      <c r="G307" s="4" t="s">
        <v>2212</v>
      </c>
      <c r="H307" s="2" t="s">
        <v>28</v>
      </c>
      <c r="I307" s="2" t="s">
        <v>273</v>
      </c>
      <c r="J307">
        <v>0</v>
      </c>
      <c r="K307">
        <v>0</v>
      </c>
      <c r="L307">
        <v>0</v>
      </c>
      <c r="M307">
        <v>0</v>
      </c>
      <c r="N307" s="5">
        <v>0</v>
      </c>
      <c r="O307">
        <v>0</v>
      </c>
    </row>
    <row r="308" spans="1:15" hidden="1" x14ac:dyDescent="0.25">
      <c r="A308" s="2" t="s">
        <v>2215</v>
      </c>
      <c r="B308" s="3">
        <v>43890</v>
      </c>
      <c r="C308" s="2" t="s">
        <v>2216</v>
      </c>
      <c r="D308" t="s">
        <v>6174</v>
      </c>
      <c r="E308" s="2">
        <v>5</v>
      </c>
      <c r="F308" s="2" t="s">
        <v>2217</v>
      </c>
      <c r="G308" s="4" t="s">
        <v>2218</v>
      </c>
      <c r="H308" s="2" t="s">
        <v>19</v>
      </c>
      <c r="I308" s="2" t="s">
        <v>236</v>
      </c>
      <c r="J308">
        <v>0</v>
      </c>
      <c r="K308">
        <v>0</v>
      </c>
      <c r="L308">
        <v>0</v>
      </c>
      <c r="M308">
        <v>0</v>
      </c>
      <c r="N308" s="5">
        <v>0</v>
      </c>
      <c r="O308">
        <v>0</v>
      </c>
    </row>
    <row r="309" spans="1:15" hidden="1" x14ac:dyDescent="0.25">
      <c r="A309" s="2" t="s">
        <v>2221</v>
      </c>
      <c r="B309" s="3">
        <v>44227</v>
      </c>
      <c r="C309" s="2" t="s">
        <v>2222</v>
      </c>
      <c r="D309" t="s">
        <v>6155</v>
      </c>
      <c r="E309" s="2">
        <v>3</v>
      </c>
      <c r="F309" s="2" t="s">
        <v>2223</v>
      </c>
      <c r="G309" s="4" t="s">
        <v>2224</v>
      </c>
      <c r="H309" s="2" t="s">
        <v>19</v>
      </c>
      <c r="I309" s="2" t="s">
        <v>51</v>
      </c>
      <c r="J309">
        <v>0</v>
      </c>
      <c r="K309">
        <v>0</v>
      </c>
      <c r="L309">
        <v>0</v>
      </c>
      <c r="M309">
        <v>0</v>
      </c>
      <c r="N309" s="5">
        <v>0</v>
      </c>
      <c r="O309">
        <v>0</v>
      </c>
    </row>
    <row r="310" spans="1:15" hidden="1" x14ac:dyDescent="0.25">
      <c r="A310" s="2" t="s">
        <v>2227</v>
      </c>
      <c r="B310" s="3">
        <v>44729</v>
      </c>
      <c r="C310" s="2" t="s">
        <v>2228</v>
      </c>
      <c r="D310" t="s">
        <v>6155</v>
      </c>
      <c r="E310" s="2">
        <v>3</v>
      </c>
      <c r="F310" s="2" t="s">
        <v>2229</v>
      </c>
      <c r="G310" s="4" t="s">
        <v>2230</v>
      </c>
      <c r="H310" s="2" t="s">
        <v>28</v>
      </c>
      <c r="I310" s="2" t="s">
        <v>176</v>
      </c>
      <c r="J310">
        <v>0</v>
      </c>
      <c r="K310">
        <v>0</v>
      </c>
      <c r="L310">
        <v>0</v>
      </c>
      <c r="M310">
        <v>0</v>
      </c>
      <c r="N310" s="5">
        <v>0</v>
      </c>
      <c r="O310">
        <v>0</v>
      </c>
    </row>
    <row r="311" spans="1:15" hidden="1" x14ac:dyDescent="0.25">
      <c r="A311" s="2" t="s">
        <v>2232</v>
      </c>
      <c r="B311" s="3">
        <v>43864</v>
      </c>
      <c r="C311" s="2" t="s">
        <v>2233</v>
      </c>
      <c r="D311" t="s">
        <v>6159</v>
      </c>
      <c r="E311" s="2">
        <v>6</v>
      </c>
      <c r="F311" s="2" t="s">
        <v>2234</v>
      </c>
      <c r="G311" s="4" t="s">
        <v>2235</v>
      </c>
      <c r="H311" s="2" t="s">
        <v>19</v>
      </c>
      <c r="I311" s="2" t="s">
        <v>379</v>
      </c>
      <c r="J311">
        <v>0</v>
      </c>
      <c r="K311">
        <v>0</v>
      </c>
      <c r="L311">
        <v>0</v>
      </c>
      <c r="M311">
        <v>0</v>
      </c>
      <c r="N311" s="5">
        <v>0</v>
      </c>
      <c r="O311">
        <v>0</v>
      </c>
    </row>
    <row r="312" spans="1:15" hidden="1" x14ac:dyDescent="0.25">
      <c r="A312" s="2" t="s">
        <v>2238</v>
      </c>
      <c r="B312" s="3">
        <v>44586</v>
      </c>
      <c r="C312" s="2" t="s">
        <v>2239</v>
      </c>
      <c r="D312" t="s">
        <v>6171</v>
      </c>
      <c r="E312" s="2">
        <v>1</v>
      </c>
      <c r="F312" s="2" t="s">
        <v>2240</v>
      </c>
      <c r="G312" s="4" t="s">
        <v>2241</v>
      </c>
      <c r="H312" s="2" t="s">
        <v>318</v>
      </c>
      <c r="I312" s="2" t="s">
        <v>327</v>
      </c>
      <c r="J312">
        <v>0</v>
      </c>
      <c r="K312">
        <v>0</v>
      </c>
      <c r="L312">
        <v>0</v>
      </c>
      <c r="M312">
        <v>0</v>
      </c>
      <c r="N312" s="5">
        <v>0</v>
      </c>
      <c r="O312">
        <v>0</v>
      </c>
    </row>
    <row r="313" spans="1:15" hidden="1" x14ac:dyDescent="0.25">
      <c r="A313" s="2" t="s">
        <v>2244</v>
      </c>
      <c r="B313" s="3">
        <v>43951</v>
      </c>
      <c r="C313" s="2" t="s">
        <v>2245</v>
      </c>
      <c r="D313" t="s">
        <v>6166</v>
      </c>
      <c r="E313" s="2">
        <v>6</v>
      </c>
      <c r="F313" s="2" t="s">
        <v>2246</v>
      </c>
      <c r="G313" s="4" t="s">
        <v>2247</v>
      </c>
      <c r="H313" s="2" t="s">
        <v>19</v>
      </c>
      <c r="I313" s="2" t="s">
        <v>35</v>
      </c>
      <c r="J313">
        <v>0</v>
      </c>
      <c r="K313">
        <v>0</v>
      </c>
      <c r="L313">
        <v>0</v>
      </c>
      <c r="M313">
        <v>0</v>
      </c>
      <c r="N313" s="5">
        <v>0</v>
      </c>
      <c r="O313">
        <v>0</v>
      </c>
    </row>
    <row r="314" spans="1:15" hidden="1" x14ac:dyDescent="0.25">
      <c r="A314" s="2" t="s">
        <v>2250</v>
      </c>
      <c r="B314" s="3">
        <v>44317</v>
      </c>
      <c r="C314" s="2" t="s">
        <v>2251</v>
      </c>
      <c r="D314" t="s">
        <v>6146</v>
      </c>
      <c r="E314" s="2">
        <v>1</v>
      </c>
      <c r="F314" s="2" t="s">
        <v>2252</v>
      </c>
      <c r="G314" s="4" t="s">
        <v>2253</v>
      </c>
      <c r="H314" s="2" t="s">
        <v>19</v>
      </c>
      <c r="I314" s="2" t="s">
        <v>164</v>
      </c>
      <c r="J314">
        <v>0</v>
      </c>
      <c r="K314">
        <v>0</v>
      </c>
      <c r="L314">
        <v>0</v>
      </c>
      <c r="M314">
        <v>0</v>
      </c>
      <c r="N314" s="5">
        <v>0</v>
      </c>
      <c r="O314">
        <v>0</v>
      </c>
    </row>
    <row r="315" spans="1:15" hidden="1" x14ac:dyDescent="0.25">
      <c r="A315" s="2" t="s">
        <v>2256</v>
      </c>
      <c r="B315" s="3">
        <v>44497</v>
      </c>
      <c r="C315" s="2" t="s">
        <v>2257</v>
      </c>
      <c r="D315" t="s">
        <v>6138</v>
      </c>
      <c r="E315" s="2">
        <v>3</v>
      </c>
      <c r="F315" s="2" t="s">
        <v>2258</v>
      </c>
      <c r="G315" s="4" t="s">
        <v>2259</v>
      </c>
      <c r="H315" s="2" t="s">
        <v>28</v>
      </c>
      <c r="I315" s="2" t="s">
        <v>365</v>
      </c>
      <c r="J315">
        <v>0</v>
      </c>
      <c r="K315">
        <v>0</v>
      </c>
      <c r="L315">
        <v>0</v>
      </c>
      <c r="M315">
        <v>0</v>
      </c>
      <c r="N315" s="5">
        <v>0</v>
      </c>
      <c r="O315">
        <v>0</v>
      </c>
    </row>
    <row r="316" spans="1:15" hidden="1" x14ac:dyDescent="0.25">
      <c r="A316" s="2" t="s">
        <v>2262</v>
      </c>
      <c r="B316" s="3">
        <v>44437</v>
      </c>
      <c r="C316" s="2" t="s">
        <v>2263</v>
      </c>
      <c r="D316" t="s">
        <v>6177</v>
      </c>
      <c r="E316" s="2">
        <v>5</v>
      </c>
      <c r="F316" s="2" t="s">
        <v>2264</v>
      </c>
      <c r="G316" s="4">
        <v>0</v>
      </c>
      <c r="H316" s="2" t="s">
        <v>19</v>
      </c>
      <c r="I316" s="2" t="s">
        <v>107</v>
      </c>
      <c r="J316">
        <v>0</v>
      </c>
      <c r="K316">
        <v>0</v>
      </c>
      <c r="L316">
        <v>0</v>
      </c>
      <c r="M316">
        <v>0</v>
      </c>
      <c r="N316" s="5">
        <v>0</v>
      </c>
      <c r="O316">
        <v>0</v>
      </c>
    </row>
    <row r="317" spans="1:15" hidden="1" x14ac:dyDescent="0.25">
      <c r="A317" s="2" t="s">
        <v>2267</v>
      </c>
      <c r="B317" s="3">
        <v>43826</v>
      </c>
      <c r="C317" s="2" t="s">
        <v>2268</v>
      </c>
      <c r="D317" t="s">
        <v>6148</v>
      </c>
      <c r="E317" s="2">
        <v>1</v>
      </c>
      <c r="F317" s="2" t="s">
        <v>2269</v>
      </c>
      <c r="G317" s="4" t="s">
        <v>2270</v>
      </c>
      <c r="H317" s="2" t="s">
        <v>19</v>
      </c>
      <c r="I317" s="2" t="s">
        <v>169</v>
      </c>
      <c r="J317">
        <v>0</v>
      </c>
      <c r="K317">
        <v>0</v>
      </c>
      <c r="L317">
        <v>0</v>
      </c>
      <c r="M317">
        <v>0</v>
      </c>
      <c r="N317" s="5">
        <v>0</v>
      </c>
      <c r="O317">
        <v>0</v>
      </c>
    </row>
    <row r="318" spans="1:15" hidden="1" x14ac:dyDescent="0.25">
      <c r="A318" s="2" t="s">
        <v>2273</v>
      </c>
      <c r="B318" s="3">
        <v>43641</v>
      </c>
      <c r="C318" s="2" t="s">
        <v>2274</v>
      </c>
      <c r="D318" t="s">
        <v>6148</v>
      </c>
      <c r="E318" s="2">
        <v>6</v>
      </c>
      <c r="F318" s="2" t="s">
        <v>2275</v>
      </c>
      <c r="G318" s="4" t="s">
        <v>2276</v>
      </c>
      <c r="H318" s="2" t="s">
        <v>318</v>
      </c>
      <c r="I318" s="2" t="s">
        <v>1282</v>
      </c>
      <c r="J318">
        <v>0</v>
      </c>
      <c r="K318">
        <v>0</v>
      </c>
      <c r="L318">
        <v>0</v>
      </c>
      <c r="M318">
        <v>0</v>
      </c>
      <c r="N318" s="5">
        <v>0</v>
      </c>
      <c r="O318">
        <v>0</v>
      </c>
    </row>
    <row r="319" spans="1:15" hidden="1" x14ac:dyDescent="0.25">
      <c r="A319" s="2" t="s">
        <v>2279</v>
      </c>
      <c r="B319" s="3">
        <v>43526</v>
      </c>
      <c r="C319" s="2" t="s">
        <v>2280</v>
      </c>
      <c r="D319" t="s">
        <v>6144</v>
      </c>
      <c r="E319" s="2">
        <v>3</v>
      </c>
      <c r="F319" s="2" t="s">
        <v>2281</v>
      </c>
      <c r="G319" s="4" t="s">
        <v>2282</v>
      </c>
      <c r="H319" s="2" t="s">
        <v>19</v>
      </c>
      <c r="I319" s="2" t="s">
        <v>75</v>
      </c>
      <c r="J319">
        <v>0</v>
      </c>
      <c r="K319">
        <v>0</v>
      </c>
      <c r="L319">
        <v>0</v>
      </c>
      <c r="M319">
        <v>0</v>
      </c>
      <c r="N319" s="5">
        <v>0</v>
      </c>
      <c r="O319">
        <v>0</v>
      </c>
    </row>
    <row r="320" spans="1:15" hidden="1" x14ac:dyDescent="0.25">
      <c r="A320" s="2" t="s">
        <v>2285</v>
      </c>
      <c r="B320" s="3">
        <v>44563</v>
      </c>
      <c r="C320" s="2" t="s">
        <v>2286</v>
      </c>
      <c r="D320" t="s">
        <v>6175</v>
      </c>
      <c r="E320" s="2">
        <v>2</v>
      </c>
      <c r="F320" s="2" t="s">
        <v>2287</v>
      </c>
      <c r="G320" s="4" t="s">
        <v>2288</v>
      </c>
      <c r="H320" s="2" t="s">
        <v>19</v>
      </c>
      <c r="I320" s="2" t="s">
        <v>29</v>
      </c>
      <c r="J320">
        <v>0</v>
      </c>
      <c r="K320">
        <v>0</v>
      </c>
      <c r="L320">
        <v>0</v>
      </c>
      <c r="M320">
        <v>0</v>
      </c>
      <c r="N320" s="5">
        <v>0</v>
      </c>
      <c r="O320">
        <v>0</v>
      </c>
    </row>
    <row r="321" spans="1:15" hidden="1" x14ac:dyDescent="0.25">
      <c r="A321" s="2" t="s">
        <v>2291</v>
      </c>
      <c r="B321" s="3">
        <v>43676</v>
      </c>
      <c r="C321" s="2" t="s">
        <v>2292</v>
      </c>
      <c r="D321" t="s">
        <v>6156</v>
      </c>
      <c r="E321" s="2">
        <v>2</v>
      </c>
      <c r="F321" s="2" t="s">
        <v>2293</v>
      </c>
      <c r="G321" s="4" t="s">
        <v>2294</v>
      </c>
      <c r="H321" s="2" t="s">
        <v>19</v>
      </c>
      <c r="I321" s="2" t="s">
        <v>30</v>
      </c>
      <c r="J321">
        <v>0</v>
      </c>
      <c r="K321">
        <v>0</v>
      </c>
      <c r="L321">
        <v>0</v>
      </c>
      <c r="M321">
        <v>0</v>
      </c>
      <c r="N321" s="5">
        <v>0</v>
      </c>
      <c r="O321">
        <v>0</v>
      </c>
    </row>
    <row r="322" spans="1:15" hidden="1" x14ac:dyDescent="0.25">
      <c r="A322" s="2" t="s">
        <v>2291</v>
      </c>
      <c r="B322" s="3">
        <v>43676</v>
      </c>
      <c r="C322" s="2" t="s">
        <v>2292</v>
      </c>
      <c r="D322" t="s">
        <v>6167</v>
      </c>
      <c r="E322" s="2">
        <v>5</v>
      </c>
      <c r="F322" s="2" t="s">
        <v>2297</v>
      </c>
      <c r="G322" s="4" t="s">
        <v>2298</v>
      </c>
      <c r="H322" s="2" t="s">
        <v>19</v>
      </c>
      <c r="I322" s="2" t="s">
        <v>213</v>
      </c>
      <c r="J322">
        <v>0</v>
      </c>
      <c r="K322">
        <v>0</v>
      </c>
      <c r="L322">
        <v>0</v>
      </c>
      <c r="M322">
        <v>0</v>
      </c>
      <c r="N322" s="5">
        <v>0</v>
      </c>
      <c r="O322">
        <v>0</v>
      </c>
    </row>
    <row r="323" spans="1:15" hidden="1" x14ac:dyDescent="0.25">
      <c r="A323" s="2" t="s">
        <v>2301</v>
      </c>
      <c r="B323" s="3">
        <v>44170</v>
      </c>
      <c r="C323" s="2" t="s">
        <v>2302</v>
      </c>
      <c r="D323" t="s">
        <v>6152</v>
      </c>
      <c r="E323" s="2">
        <v>6</v>
      </c>
      <c r="F323" s="2" t="s">
        <v>2303</v>
      </c>
      <c r="G323" s="4" t="s">
        <v>2304</v>
      </c>
      <c r="H323" s="2" t="s">
        <v>318</v>
      </c>
      <c r="I323" s="2" t="s">
        <v>390</v>
      </c>
      <c r="J323">
        <v>0</v>
      </c>
      <c r="K323">
        <v>0</v>
      </c>
      <c r="L323">
        <v>0</v>
      </c>
      <c r="M323">
        <v>0</v>
      </c>
      <c r="N323" s="5">
        <v>0</v>
      </c>
      <c r="O323">
        <v>0</v>
      </c>
    </row>
    <row r="324" spans="1:15" hidden="1" x14ac:dyDescent="0.25">
      <c r="A324" s="2" t="s">
        <v>2307</v>
      </c>
      <c r="B324" s="3">
        <v>44182</v>
      </c>
      <c r="C324" s="2" t="s">
        <v>2308</v>
      </c>
      <c r="D324" t="s">
        <v>6169</v>
      </c>
      <c r="E324" s="2">
        <v>3</v>
      </c>
      <c r="F324" s="2" t="s">
        <v>2309</v>
      </c>
      <c r="G324" s="4" t="s">
        <v>2310</v>
      </c>
      <c r="H324" s="2" t="s">
        <v>318</v>
      </c>
      <c r="I324" s="2" t="s">
        <v>455</v>
      </c>
      <c r="J324">
        <v>0</v>
      </c>
      <c r="K324">
        <v>0</v>
      </c>
      <c r="L324">
        <v>0</v>
      </c>
      <c r="M324">
        <v>0</v>
      </c>
      <c r="N324" s="5">
        <v>0</v>
      </c>
      <c r="O324">
        <v>0</v>
      </c>
    </row>
    <row r="325" spans="1:15" hidden="1" x14ac:dyDescent="0.25">
      <c r="A325" s="2" t="s">
        <v>2313</v>
      </c>
      <c r="B325" s="3">
        <v>44373</v>
      </c>
      <c r="C325" s="2" t="s">
        <v>2314</v>
      </c>
      <c r="D325" t="s">
        <v>6153</v>
      </c>
      <c r="E325" s="2">
        <v>5</v>
      </c>
      <c r="F325" s="2" t="s">
        <v>2315</v>
      </c>
      <c r="G325" s="4" t="s">
        <v>2316</v>
      </c>
      <c r="H325" s="2" t="s">
        <v>19</v>
      </c>
      <c r="I325" s="2" t="s">
        <v>49</v>
      </c>
      <c r="J325">
        <v>0</v>
      </c>
      <c r="K325">
        <v>0</v>
      </c>
      <c r="L325">
        <v>0</v>
      </c>
      <c r="M325">
        <v>0</v>
      </c>
      <c r="N325" s="5">
        <v>0</v>
      </c>
      <c r="O325">
        <v>0</v>
      </c>
    </row>
    <row r="326" spans="1:15" hidden="1" x14ac:dyDescent="0.25">
      <c r="A326" s="2" t="s">
        <v>2319</v>
      </c>
      <c r="B326" s="3">
        <v>43666</v>
      </c>
      <c r="C326" s="2" t="s">
        <v>2320</v>
      </c>
      <c r="D326" t="s">
        <v>6141</v>
      </c>
      <c r="E326" s="2">
        <v>1</v>
      </c>
      <c r="F326" s="2" t="s">
        <v>2321</v>
      </c>
      <c r="G326" s="4">
        <v>0</v>
      </c>
      <c r="H326" s="2" t="s">
        <v>19</v>
      </c>
      <c r="I326" s="2" t="s">
        <v>67</v>
      </c>
      <c r="J326">
        <v>0</v>
      </c>
      <c r="K326">
        <v>0</v>
      </c>
      <c r="L326">
        <v>0</v>
      </c>
      <c r="M326">
        <v>0</v>
      </c>
      <c r="N326" s="5">
        <v>0</v>
      </c>
      <c r="O326">
        <v>0</v>
      </c>
    </row>
    <row r="327" spans="1:15" hidden="1" x14ac:dyDescent="0.25">
      <c r="A327" s="2" t="s">
        <v>2324</v>
      </c>
      <c r="B327" s="3">
        <v>44756</v>
      </c>
      <c r="C327" s="2" t="s">
        <v>2325</v>
      </c>
      <c r="D327" t="s">
        <v>6182</v>
      </c>
      <c r="E327" s="2">
        <v>1</v>
      </c>
      <c r="F327" s="2" t="s">
        <v>2326</v>
      </c>
      <c r="G327" s="4" t="s">
        <v>2327</v>
      </c>
      <c r="H327" s="2" t="s">
        <v>19</v>
      </c>
      <c r="I327" s="2" t="s">
        <v>150</v>
      </c>
      <c r="J327">
        <v>0</v>
      </c>
      <c r="K327">
        <v>0</v>
      </c>
      <c r="L327">
        <v>0</v>
      </c>
      <c r="M327">
        <v>0</v>
      </c>
      <c r="N327" s="5">
        <v>0</v>
      </c>
      <c r="O327">
        <v>0</v>
      </c>
    </row>
    <row r="328" spans="1:15" hidden="1" x14ac:dyDescent="0.25">
      <c r="A328" s="2" t="s">
        <v>2330</v>
      </c>
      <c r="B328" s="3">
        <v>44057</v>
      </c>
      <c r="C328" s="2" t="s">
        <v>2331</v>
      </c>
      <c r="D328" t="s">
        <v>6177</v>
      </c>
      <c r="E328" s="2">
        <v>5</v>
      </c>
      <c r="F328" s="2" t="s">
        <v>2332</v>
      </c>
      <c r="G328" s="4">
        <v>0</v>
      </c>
      <c r="H328" s="2" t="s">
        <v>19</v>
      </c>
      <c r="I328" s="2" t="s">
        <v>144</v>
      </c>
      <c r="J328">
        <v>0</v>
      </c>
      <c r="K328">
        <v>0</v>
      </c>
      <c r="L328">
        <v>0</v>
      </c>
      <c r="M328">
        <v>0</v>
      </c>
      <c r="N328" s="5">
        <v>0</v>
      </c>
      <c r="O328">
        <v>0</v>
      </c>
    </row>
    <row r="329" spans="1:15" hidden="1" x14ac:dyDescent="0.25">
      <c r="A329" s="2" t="s">
        <v>2335</v>
      </c>
      <c r="B329" s="3">
        <v>43579</v>
      </c>
      <c r="C329" s="2" t="s">
        <v>2336</v>
      </c>
      <c r="D329" t="s">
        <v>6177</v>
      </c>
      <c r="E329" s="2">
        <v>5</v>
      </c>
      <c r="F329" s="2" t="s">
        <v>2337</v>
      </c>
      <c r="G329" s="4" t="s">
        <v>2338</v>
      </c>
      <c r="H329" s="2" t="s">
        <v>19</v>
      </c>
      <c r="I329" s="2" t="s">
        <v>139</v>
      </c>
      <c r="J329">
        <v>0</v>
      </c>
      <c r="K329">
        <v>0</v>
      </c>
      <c r="L329">
        <v>0</v>
      </c>
      <c r="M329">
        <v>0</v>
      </c>
      <c r="N329" s="5">
        <v>0</v>
      </c>
      <c r="O329">
        <v>0</v>
      </c>
    </row>
    <row r="330" spans="1:15" hidden="1" x14ac:dyDescent="0.25">
      <c r="A330" s="2" t="s">
        <v>2341</v>
      </c>
      <c r="B330" s="3">
        <v>43620</v>
      </c>
      <c r="C330" s="2" t="s">
        <v>2342</v>
      </c>
      <c r="D330" t="s">
        <v>6161</v>
      </c>
      <c r="E330" s="2">
        <v>4</v>
      </c>
      <c r="F330" s="2" t="s">
        <v>2343</v>
      </c>
      <c r="G330" s="4">
        <v>0</v>
      </c>
      <c r="H330" s="2" t="s">
        <v>19</v>
      </c>
      <c r="I330" s="2" t="s">
        <v>50</v>
      </c>
      <c r="J330">
        <v>0</v>
      </c>
      <c r="K330">
        <v>0</v>
      </c>
      <c r="L330">
        <v>0</v>
      </c>
      <c r="M330">
        <v>0</v>
      </c>
      <c r="N330" s="5">
        <v>0</v>
      </c>
      <c r="O330">
        <v>0</v>
      </c>
    </row>
    <row r="331" spans="1:15" hidden="1" x14ac:dyDescent="0.25">
      <c r="A331" s="2" t="s">
        <v>2346</v>
      </c>
      <c r="B331" s="3">
        <v>44781</v>
      </c>
      <c r="C331" s="2" t="s">
        <v>2347</v>
      </c>
      <c r="D331" t="s">
        <v>6172</v>
      </c>
      <c r="E331" s="2">
        <v>4</v>
      </c>
      <c r="F331" s="2" t="s">
        <v>2348</v>
      </c>
      <c r="G331" s="4" t="s">
        <v>2349</v>
      </c>
      <c r="H331" s="2" t="s">
        <v>19</v>
      </c>
      <c r="I331" s="2" t="s">
        <v>131</v>
      </c>
      <c r="J331">
        <v>0</v>
      </c>
      <c r="K331">
        <v>0</v>
      </c>
      <c r="L331">
        <v>0</v>
      </c>
      <c r="M331">
        <v>0</v>
      </c>
      <c r="N331" s="5">
        <v>0</v>
      </c>
      <c r="O331">
        <v>0</v>
      </c>
    </row>
    <row r="332" spans="1:15" hidden="1" x14ac:dyDescent="0.25">
      <c r="A332" s="2" t="s">
        <v>2351</v>
      </c>
      <c r="B332" s="3">
        <v>43782</v>
      </c>
      <c r="C332" s="2" t="s">
        <v>2280</v>
      </c>
      <c r="D332" t="s">
        <v>6172</v>
      </c>
      <c r="E332" s="2">
        <v>3</v>
      </c>
      <c r="F332" s="2" t="s">
        <v>2353</v>
      </c>
      <c r="G332" s="4" t="s">
        <v>2354</v>
      </c>
      <c r="H332" s="2" t="s">
        <v>19</v>
      </c>
      <c r="I332" s="2" t="s">
        <v>47</v>
      </c>
      <c r="J332">
        <v>0</v>
      </c>
      <c r="K332">
        <v>0</v>
      </c>
      <c r="L332">
        <v>0</v>
      </c>
      <c r="M332">
        <v>0</v>
      </c>
      <c r="N332" s="5">
        <v>0</v>
      </c>
      <c r="O332">
        <v>0</v>
      </c>
    </row>
    <row r="333" spans="1:15" hidden="1" x14ac:dyDescent="0.25">
      <c r="A333" s="2" t="s">
        <v>2357</v>
      </c>
      <c r="B333" s="3">
        <v>43989</v>
      </c>
      <c r="C333" s="2" t="s">
        <v>2358</v>
      </c>
      <c r="D333" t="s">
        <v>6151</v>
      </c>
      <c r="E333" s="2">
        <v>1</v>
      </c>
      <c r="F333" s="2" t="s">
        <v>2359</v>
      </c>
      <c r="G333" s="4" t="s">
        <v>2360</v>
      </c>
      <c r="H333" s="2" t="s">
        <v>19</v>
      </c>
      <c r="I333" s="2" t="s">
        <v>117</v>
      </c>
      <c r="J333">
        <v>0</v>
      </c>
      <c r="K333">
        <v>0</v>
      </c>
      <c r="L333">
        <v>0</v>
      </c>
      <c r="M333">
        <v>0</v>
      </c>
      <c r="N333" s="5">
        <v>0</v>
      </c>
      <c r="O333">
        <v>0</v>
      </c>
    </row>
    <row r="334" spans="1:15" hidden="1" x14ac:dyDescent="0.25">
      <c r="A334" s="2" t="s">
        <v>2363</v>
      </c>
      <c r="B334" s="3">
        <v>43689</v>
      </c>
      <c r="C334" s="2" t="s">
        <v>2364</v>
      </c>
      <c r="D334" t="s">
        <v>6158</v>
      </c>
      <c r="E334" s="2">
        <v>3</v>
      </c>
      <c r="F334" s="2" t="s">
        <v>2365</v>
      </c>
      <c r="G334" s="4" t="s">
        <v>2366</v>
      </c>
      <c r="H334" s="2" t="s">
        <v>19</v>
      </c>
      <c r="I334" s="2" t="s">
        <v>27</v>
      </c>
      <c r="J334">
        <v>0</v>
      </c>
      <c r="K334">
        <v>0</v>
      </c>
      <c r="L334">
        <v>0</v>
      </c>
      <c r="M334">
        <v>0</v>
      </c>
      <c r="N334" s="5">
        <v>0</v>
      </c>
      <c r="O334">
        <v>0</v>
      </c>
    </row>
    <row r="335" spans="1:15" hidden="1" x14ac:dyDescent="0.25">
      <c r="A335" s="2" t="s">
        <v>2369</v>
      </c>
      <c r="B335" s="3">
        <v>43712</v>
      </c>
      <c r="C335" s="2" t="s">
        <v>2370</v>
      </c>
      <c r="D335" t="s">
        <v>6146</v>
      </c>
      <c r="E335" s="2">
        <v>4</v>
      </c>
      <c r="F335" s="2" t="s">
        <v>2371</v>
      </c>
      <c r="G335" s="4" t="s">
        <v>2372</v>
      </c>
      <c r="H335" s="2" t="s">
        <v>19</v>
      </c>
      <c r="I335" s="2" t="s">
        <v>20</v>
      </c>
      <c r="J335">
        <v>0</v>
      </c>
      <c r="K335">
        <v>0</v>
      </c>
      <c r="L335">
        <v>0</v>
      </c>
      <c r="M335">
        <v>0</v>
      </c>
      <c r="N335" s="5">
        <v>0</v>
      </c>
      <c r="O335">
        <v>0</v>
      </c>
    </row>
    <row r="336" spans="1:15" hidden="1" x14ac:dyDescent="0.25">
      <c r="A336" s="2" t="s">
        <v>2375</v>
      </c>
      <c r="B336" s="3">
        <v>43742</v>
      </c>
      <c r="C336" s="2" t="s">
        <v>2376</v>
      </c>
      <c r="D336" t="s">
        <v>6179</v>
      </c>
      <c r="E336" s="2">
        <v>5</v>
      </c>
      <c r="F336" s="2" t="s">
        <v>2377</v>
      </c>
      <c r="G336" s="4">
        <v>0</v>
      </c>
      <c r="H336" s="2" t="s">
        <v>19</v>
      </c>
      <c r="I336" s="2" t="s">
        <v>216</v>
      </c>
      <c r="J336">
        <v>0</v>
      </c>
      <c r="K336">
        <v>0</v>
      </c>
      <c r="L336">
        <v>0</v>
      </c>
      <c r="M336">
        <v>0</v>
      </c>
      <c r="N336" s="5">
        <v>0</v>
      </c>
      <c r="O336">
        <v>0</v>
      </c>
    </row>
    <row r="337" spans="1:15" hidden="1" x14ac:dyDescent="0.25">
      <c r="A337" s="2" t="s">
        <v>2379</v>
      </c>
      <c r="B337" s="3">
        <v>43885</v>
      </c>
      <c r="C337" s="2" t="s">
        <v>2380</v>
      </c>
      <c r="D337" t="s">
        <v>6145</v>
      </c>
      <c r="E337" s="2">
        <v>6</v>
      </c>
      <c r="F337" s="2" t="s">
        <v>2381</v>
      </c>
      <c r="G337" s="4" t="s">
        <v>2382</v>
      </c>
      <c r="H337" s="2" t="s">
        <v>19</v>
      </c>
      <c r="I337" s="2" t="s">
        <v>115</v>
      </c>
      <c r="J337">
        <v>0</v>
      </c>
      <c r="K337">
        <v>0</v>
      </c>
      <c r="L337">
        <v>0</v>
      </c>
      <c r="M337">
        <v>0</v>
      </c>
      <c r="N337" s="5">
        <v>0</v>
      </c>
      <c r="O337">
        <v>0</v>
      </c>
    </row>
    <row r="338" spans="1:15" hidden="1" x14ac:dyDescent="0.25">
      <c r="A338" s="2" t="s">
        <v>2385</v>
      </c>
      <c r="B338" s="3">
        <v>44434</v>
      </c>
      <c r="C338" s="2" t="s">
        <v>2386</v>
      </c>
      <c r="D338" t="s">
        <v>6155</v>
      </c>
      <c r="E338" s="2">
        <v>4</v>
      </c>
      <c r="F338" s="2" t="s">
        <v>2387</v>
      </c>
      <c r="G338" s="4" t="s">
        <v>2388</v>
      </c>
      <c r="H338" s="2" t="s">
        <v>28</v>
      </c>
      <c r="I338" s="2" t="s">
        <v>253</v>
      </c>
      <c r="J338">
        <v>0</v>
      </c>
      <c r="K338">
        <v>0</v>
      </c>
      <c r="L338">
        <v>0</v>
      </c>
      <c r="M338">
        <v>0</v>
      </c>
      <c r="N338" s="5">
        <v>0</v>
      </c>
      <c r="O338">
        <v>0</v>
      </c>
    </row>
    <row r="339" spans="1:15" hidden="1" x14ac:dyDescent="0.25">
      <c r="A339" s="2" t="s">
        <v>2391</v>
      </c>
      <c r="B339" s="3">
        <v>44472</v>
      </c>
      <c r="C339" s="2" t="s">
        <v>2331</v>
      </c>
      <c r="D339" t="s">
        <v>6185</v>
      </c>
      <c r="E339" s="2">
        <v>2</v>
      </c>
      <c r="F339" s="2" t="s">
        <v>2393</v>
      </c>
      <c r="G339" s="4">
        <v>0</v>
      </c>
      <c r="H339" s="2" t="s">
        <v>19</v>
      </c>
      <c r="I339" s="2" t="s">
        <v>39</v>
      </c>
      <c r="J339">
        <v>0</v>
      </c>
      <c r="K339">
        <v>0</v>
      </c>
      <c r="L339">
        <v>0</v>
      </c>
      <c r="M339">
        <v>0</v>
      </c>
      <c r="N339" s="5">
        <v>0</v>
      </c>
      <c r="O339">
        <v>0</v>
      </c>
    </row>
    <row r="340" spans="1:15" hidden="1" x14ac:dyDescent="0.25">
      <c r="A340" s="2" t="s">
        <v>2396</v>
      </c>
      <c r="B340" s="3">
        <v>43995</v>
      </c>
      <c r="C340" s="2" t="s">
        <v>2397</v>
      </c>
      <c r="D340" t="s">
        <v>6171</v>
      </c>
      <c r="E340" s="2">
        <v>4</v>
      </c>
      <c r="F340" s="2" t="s">
        <v>2398</v>
      </c>
      <c r="G340" s="4" t="s">
        <v>2399</v>
      </c>
      <c r="H340" s="2" t="s">
        <v>19</v>
      </c>
      <c r="I340" s="2" t="s">
        <v>57</v>
      </c>
      <c r="J340">
        <v>0</v>
      </c>
      <c r="K340">
        <v>0</v>
      </c>
      <c r="L340">
        <v>0</v>
      </c>
      <c r="M340">
        <v>0</v>
      </c>
      <c r="N340" s="5">
        <v>0</v>
      </c>
      <c r="O340">
        <v>0</v>
      </c>
    </row>
    <row r="341" spans="1:15" hidden="1" x14ac:dyDescent="0.25">
      <c r="A341" s="2" t="s">
        <v>2402</v>
      </c>
      <c r="B341" s="3">
        <v>44256</v>
      </c>
      <c r="C341" s="2" t="s">
        <v>2403</v>
      </c>
      <c r="D341" t="s">
        <v>6153</v>
      </c>
      <c r="E341" s="2">
        <v>2</v>
      </c>
      <c r="F341" s="2" t="s">
        <v>2404</v>
      </c>
      <c r="G341" s="4" t="s">
        <v>2405</v>
      </c>
      <c r="H341" s="2" t="s">
        <v>19</v>
      </c>
      <c r="I341" s="2" t="s">
        <v>241</v>
      </c>
      <c r="J341">
        <v>0</v>
      </c>
      <c r="K341">
        <v>0</v>
      </c>
      <c r="L341">
        <v>0</v>
      </c>
      <c r="M341">
        <v>0</v>
      </c>
      <c r="N341" s="5">
        <v>0</v>
      </c>
      <c r="O341">
        <v>0</v>
      </c>
    </row>
    <row r="342" spans="1:15" hidden="1" x14ac:dyDescent="0.25">
      <c r="A342" s="2" t="s">
        <v>2408</v>
      </c>
      <c r="B342" s="3">
        <v>43528</v>
      </c>
      <c r="C342" s="2" t="s">
        <v>2409</v>
      </c>
      <c r="D342" t="s">
        <v>6144</v>
      </c>
      <c r="E342" s="2">
        <v>1</v>
      </c>
      <c r="F342" s="2" t="s">
        <v>2410</v>
      </c>
      <c r="G342" s="4" t="s">
        <v>2411</v>
      </c>
      <c r="H342" s="2" t="s">
        <v>19</v>
      </c>
      <c r="I342" s="2" t="s">
        <v>150</v>
      </c>
      <c r="J342">
        <v>0</v>
      </c>
      <c r="K342">
        <v>0</v>
      </c>
      <c r="L342">
        <v>0</v>
      </c>
      <c r="M342">
        <v>0</v>
      </c>
      <c r="N342" s="5">
        <v>0</v>
      </c>
      <c r="O342">
        <v>0</v>
      </c>
    </row>
    <row r="343" spans="1:15" hidden="1" x14ac:dyDescent="0.25">
      <c r="A343" s="2" t="s">
        <v>2414</v>
      </c>
      <c r="B343" s="3">
        <v>43751</v>
      </c>
      <c r="C343" s="2" t="s">
        <v>2415</v>
      </c>
      <c r="D343" t="s">
        <v>6176</v>
      </c>
      <c r="E343" s="2">
        <v>2</v>
      </c>
      <c r="F343" s="2" t="s">
        <v>2416</v>
      </c>
      <c r="G343" s="4" t="s">
        <v>2417</v>
      </c>
      <c r="H343" s="2" t="s">
        <v>19</v>
      </c>
      <c r="I343" s="2" t="s">
        <v>36</v>
      </c>
      <c r="J343">
        <v>0</v>
      </c>
      <c r="K343">
        <v>0</v>
      </c>
      <c r="L343">
        <v>0</v>
      </c>
      <c r="M343">
        <v>0</v>
      </c>
      <c r="N343" s="5">
        <v>0</v>
      </c>
      <c r="O343">
        <v>0</v>
      </c>
    </row>
    <row r="344" spans="1:15" hidden="1" x14ac:dyDescent="0.25">
      <c r="A344" s="2" t="s">
        <v>2414</v>
      </c>
      <c r="B344" s="3">
        <v>43751</v>
      </c>
      <c r="C344" s="2" t="s">
        <v>2415</v>
      </c>
      <c r="D344" t="s">
        <v>6169</v>
      </c>
      <c r="E344" s="2">
        <v>5</v>
      </c>
      <c r="F344" s="2" t="s">
        <v>2421</v>
      </c>
      <c r="G344" s="4" t="s">
        <v>2422</v>
      </c>
      <c r="H344" s="2" t="s">
        <v>19</v>
      </c>
      <c r="I344" s="2" t="s">
        <v>22</v>
      </c>
      <c r="J344">
        <v>0</v>
      </c>
      <c r="K344">
        <v>0</v>
      </c>
      <c r="L344">
        <v>0</v>
      </c>
      <c r="M344">
        <v>0</v>
      </c>
      <c r="N344" s="5">
        <v>0</v>
      </c>
      <c r="O344">
        <v>0</v>
      </c>
    </row>
    <row r="345" spans="1:15" hidden="1" x14ac:dyDescent="0.25">
      <c r="A345" s="2" t="s">
        <v>2424</v>
      </c>
      <c r="B345" s="3">
        <v>43692</v>
      </c>
      <c r="C345" s="2" t="s">
        <v>2425</v>
      </c>
      <c r="D345" t="s">
        <v>6172</v>
      </c>
      <c r="E345" s="2">
        <v>6</v>
      </c>
      <c r="F345" s="2" t="s">
        <v>2426</v>
      </c>
      <c r="G345" s="4" t="s">
        <v>2427</v>
      </c>
      <c r="H345" s="2" t="s">
        <v>19</v>
      </c>
      <c r="I345" s="2" t="s">
        <v>105</v>
      </c>
      <c r="J345">
        <v>0</v>
      </c>
      <c r="K345">
        <v>0</v>
      </c>
      <c r="L345">
        <v>0</v>
      </c>
      <c r="M345">
        <v>0</v>
      </c>
      <c r="N345" s="5">
        <v>0</v>
      </c>
      <c r="O345">
        <v>0</v>
      </c>
    </row>
    <row r="346" spans="1:15" hidden="1" x14ac:dyDescent="0.25">
      <c r="A346" s="2" t="s">
        <v>2429</v>
      </c>
      <c r="B346" s="3">
        <v>44529</v>
      </c>
      <c r="C346" s="2" t="s">
        <v>2430</v>
      </c>
      <c r="D346" t="s">
        <v>6138</v>
      </c>
      <c r="E346" s="2">
        <v>2</v>
      </c>
      <c r="F346" s="2" t="s">
        <v>2431</v>
      </c>
      <c r="G346" s="4">
        <v>0</v>
      </c>
      <c r="H346" s="2" t="s">
        <v>318</v>
      </c>
      <c r="I346" s="2" t="s">
        <v>428</v>
      </c>
      <c r="J346">
        <v>0</v>
      </c>
      <c r="K346">
        <v>0</v>
      </c>
      <c r="L346">
        <v>0</v>
      </c>
      <c r="M346">
        <v>0</v>
      </c>
      <c r="N346" s="5">
        <v>0</v>
      </c>
      <c r="O346">
        <v>0</v>
      </c>
    </row>
    <row r="347" spans="1:15" hidden="1" x14ac:dyDescent="0.25">
      <c r="A347" s="2" t="s">
        <v>2434</v>
      </c>
      <c r="B347" s="3">
        <v>43849</v>
      </c>
      <c r="C347" s="2" t="s">
        <v>2435</v>
      </c>
      <c r="D347" t="s">
        <v>6179</v>
      </c>
      <c r="E347" s="2">
        <v>5</v>
      </c>
      <c r="F347" s="2" t="s">
        <v>2436</v>
      </c>
      <c r="G347" s="4" t="s">
        <v>2437</v>
      </c>
      <c r="H347" s="2" t="s">
        <v>19</v>
      </c>
      <c r="I347" s="2" t="s">
        <v>187</v>
      </c>
      <c r="J347">
        <v>0</v>
      </c>
      <c r="K347">
        <v>0</v>
      </c>
      <c r="L347">
        <v>0</v>
      </c>
      <c r="M347">
        <v>0</v>
      </c>
      <c r="N347" s="5">
        <v>0</v>
      </c>
      <c r="O347">
        <v>0</v>
      </c>
    </row>
    <row r="348" spans="1:15" hidden="1" x14ac:dyDescent="0.25">
      <c r="A348" s="2" t="s">
        <v>2440</v>
      </c>
      <c r="B348" s="3">
        <v>44344</v>
      </c>
      <c r="C348" s="2" t="s">
        <v>2441</v>
      </c>
      <c r="D348" t="s">
        <v>6180</v>
      </c>
      <c r="E348" s="2">
        <v>3</v>
      </c>
      <c r="F348" s="2" t="s">
        <v>2442</v>
      </c>
      <c r="G348" s="4" t="s">
        <v>2443</v>
      </c>
      <c r="H348" s="2" t="s">
        <v>19</v>
      </c>
      <c r="I348" s="2" t="s">
        <v>52</v>
      </c>
      <c r="J348">
        <v>0</v>
      </c>
      <c r="K348">
        <v>0</v>
      </c>
      <c r="L348">
        <v>0</v>
      </c>
      <c r="M348">
        <v>0</v>
      </c>
      <c r="N348" s="5">
        <v>0</v>
      </c>
      <c r="O348">
        <v>0</v>
      </c>
    </row>
    <row r="349" spans="1:15" hidden="1" x14ac:dyDescent="0.25">
      <c r="A349" s="2" t="s">
        <v>2446</v>
      </c>
      <c r="B349" s="3">
        <v>44576</v>
      </c>
      <c r="C349" s="2" t="s">
        <v>2447</v>
      </c>
      <c r="D349" t="s">
        <v>6162</v>
      </c>
      <c r="E349" s="2">
        <v>3</v>
      </c>
      <c r="F349" s="2" t="s">
        <v>2448</v>
      </c>
      <c r="G349" s="4" t="s">
        <v>2449</v>
      </c>
      <c r="H349" s="2" t="s">
        <v>19</v>
      </c>
      <c r="I349" s="2" t="s">
        <v>148</v>
      </c>
      <c r="J349">
        <v>0</v>
      </c>
      <c r="K349">
        <v>0</v>
      </c>
      <c r="L349">
        <v>0</v>
      </c>
      <c r="M349">
        <v>0</v>
      </c>
      <c r="N349" s="5">
        <v>0</v>
      </c>
      <c r="O349">
        <v>0</v>
      </c>
    </row>
    <row r="350" spans="1:15" hidden="1" x14ac:dyDescent="0.25">
      <c r="A350" s="2" t="s">
        <v>2452</v>
      </c>
      <c r="B350" s="3">
        <v>43803</v>
      </c>
      <c r="C350" s="2" t="s">
        <v>2453</v>
      </c>
      <c r="D350" t="s">
        <v>6148</v>
      </c>
      <c r="E350" s="2">
        <v>6</v>
      </c>
      <c r="F350" s="2" t="s">
        <v>2454</v>
      </c>
      <c r="G350" s="4" t="s">
        <v>2455</v>
      </c>
      <c r="H350" s="2" t="s">
        <v>19</v>
      </c>
      <c r="I350" s="2" t="s">
        <v>185</v>
      </c>
      <c r="J350">
        <v>0</v>
      </c>
      <c r="K350">
        <v>0</v>
      </c>
      <c r="L350">
        <v>0</v>
      </c>
      <c r="M350">
        <v>0</v>
      </c>
      <c r="N350" s="5">
        <v>0</v>
      </c>
      <c r="O350">
        <v>0</v>
      </c>
    </row>
    <row r="351" spans="1:15" hidden="1" x14ac:dyDescent="0.25">
      <c r="A351" s="2" t="s">
        <v>2458</v>
      </c>
      <c r="B351" s="3">
        <v>44743</v>
      </c>
      <c r="C351" s="2" t="s">
        <v>2459</v>
      </c>
      <c r="D351" t="s">
        <v>6178</v>
      </c>
      <c r="E351" s="2">
        <v>4</v>
      </c>
      <c r="F351" s="2" t="s">
        <v>2460</v>
      </c>
      <c r="G351" s="4" t="s">
        <v>2461</v>
      </c>
      <c r="H351" s="2" t="s">
        <v>19</v>
      </c>
      <c r="I351" s="2" t="s">
        <v>27</v>
      </c>
      <c r="J351">
        <v>0</v>
      </c>
      <c r="K351">
        <v>0</v>
      </c>
      <c r="L351">
        <v>0</v>
      </c>
      <c r="M351">
        <v>0</v>
      </c>
      <c r="N351" s="5">
        <v>0</v>
      </c>
      <c r="O351">
        <v>0</v>
      </c>
    </row>
    <row r="352" spans="1:15" hidden="1" x14ac:dyDescent="0.25">
      <c r="A352" s="2" t="s">
        <v>2464</v>
      </c>
      <c r="B352" s="3">
        <v>43592</v>
      </c>
      <c r="C352" s="2" t="s">
        <v>2465</v>
      </c>
      <c r="D352" t="s">
        <v>6158</v>
      </c>
      <c r="E352" s="2">
        <v>4</v>
      </c>
      <c r="F352" s="2" t="s">
        <v>2466</v>
      </c>
      <c r="G352" s="4" t="s">
        <v>2467</v>
      </c>
      <c r="H352" s="2" t="s">
        <v>19</v>
      </c>
      <c r="I352" s="2" t="s">
        <v>175</v>
      </c>
      <c r="J352">
        <v>0</v>
      </c>
      <c r="K352">
        <v>0</v>
      </c>
      <c r="L352">
        <v>0</v>
      </c>
      <c r="M352">
        <v>0</v>
      </c>
      <c r="N352" s="5">
        <v>0</v>
      </c>
      <c r="O352">
        <v>0</v>
      </c>
    </row>
    <row r="353" spans="1:15" hidden="1" x14ac:dyDescent="0.25">
      <c r="A353" s="2" t="s">
        <v>2470</v>
      </c>
      <c r="B353" s="3">
        <v>44066</v>
      </c>
      <c r="C353" s="2" t="s">
        <v>2471</v>
      </c>
      <c r="D353" t="s">
        <v>6155</v>
      </c>
      <c r="E353" s="2">
        <v>2</v>
      </c>
      <c r="F353" s="2" t="s">
        <v>2472</v>
      </c>
      <c r="G353" s="4" t="s">
        <v>2473</v>
      </c>
      <c r="H353" s="2" t="s">
        <v>19</v>
      </c>
      <c r="I353" s="2" t="s">
        <v>196</v>
      </c>
      <c r="J353">
        <v>0</v>
      </c>
      <c r="K353">
        <v>0</v>
      </c>
      <c r="L353">
        <v>0</v>
      </c>
      <c r="M353">
        <v>0</v>
      </c>
      <c r="N353" s="5">
        <v>0</v>
      </c>
      <c r="O353">
        <v>0</v>
      </c>
    </row>
    <row r="354" spans="1:15" hidden="1" x14ac:dyDescent="0.25">
      <c r="A354" s="2" t="s">
        <v>2476</v>
      </c>
      <c r="B354" s="3">
        <v>43984</v>
      </c>
      <c r="C354" s="2" t="s">
        <v>2331</v>
      </c>
      <c r="D354" t="s">
        <v>6144</v>
      </c>
      <c r="E354" s="2">
        <v>5</v>
      </c>
      <c r="F354" s="2" t="s">
        <v>2478</v>
      </c>
      <c r="G354" s="4" t="s">
        <v>2479</v>
      </c>
      <c r="H354" s="2" t="s">
        <v>19</v>
      </c>
      <c r="I354" s="2" t="s">
        <v>272</v>
      </c>
      <c r="J354">
        <v>0</v>
      </c>
      <c r="K354">
        <v>0</v>
      </c>
      <c r="L354">
        <v>0</v>
      </c>
      <c r="M354">
        <v>0</v>
      </c>
      <c r="N354" s="5">
        <v>0</v>
      </c>
      <c r="O354">
        <v>0</v>
      </c>
    </row>
    <row r="355" spans="1:15" hidden="1" x14ac:dyDescent="0.25">
      <c r="A355" s="2" t="s">
        <v>2482</v>
      </c>
      <c r="B355" s="3">
        <v>43860</v>
      </c>
      <c r="C355" s="2" t="s">
        <v>2483</v>
      </c>
      <c r="D355" t="s">
        <v>6157</v>
      </c>
      <c r="E355" s="2">
        <v>4</v>
      </c>
      <c r="F355" s="2" t="s">
        <v>2484</v>
      </c>
      <c r="G355" s="4">
        <v>0</v>
      </c>
      <c r="H355" s="2" t="s">
        <v>19</v>
      </c>
      <c r="I355" s="2" t="s">
        <v>187</v>
      </c>
      <c r="J355">
        <v>0</v>
      </c>
      <c r="K355">
        <v>0</v>
      </c>
      <c r="L355">
        <v>0</v>
      </c>
      <c r="M355">
        <v>0</v>
      </c>
      <c r="N355" s="5">
        <v>0</v>
      </c>
      <c r="O355">
        <v>0</v>
      </c>
    </row>
    <row r="356" spans="1:15" hidden="1" x14ac:dyDescent="0.25">
      <c r="A356" s="2" t="s">
        <v>2487</v>
      </c>
      <c r="B356" s="3">
        <v>43876</v>
      </c>
      <c r="C356" s="2" t="s">
        <v>2488</v>
      </c>
      <c r="D356" t="s">
        <v>6175</v>
      </c>
      <c r="E356" s="2">
        <v>6</v>
      </c>
      <c r="F356" s="2" t="s">
        <v>2489</v>
      </c>
      <c r="G356" s="4" t="s">
        <v>2490</v>
      </c>
      <c r="H356" s="2" t="s">
        <v>19</v>
      </c>
      <c r="I356" s="2" t="s">
        <v>270</v>
      </c>
      <c r="J356">
        <v>0</v>
      </c>
      <c r="K356">
        <v>0</v>
      </c>
      <c r="L356">
        <v>0</v>
      </c>
      <c r="M356">
        <v>0</v>
      </c>
      <c r="N356" s="5">
        <v>0</v>
      </c>
      <c r="O356">
        <v>0</v>
      </c>
    </row>
    <row r="357" spans="1:15" hidden="1" x14ac:dyDescent="0.25">
      <c r="A357" s="2" t="s">
        <v>2492</v>
      </c>
      <c r="B357" s="3">
        <v>44358</v>
      </c>
      <c r="C357" s="2" t="s">
        <v>2493</v>
      </c>
      <c r="D357" t="s">
        <v>6168</v>
      </c>
      <c r="E357" s="2">
        <v>5</v>
      </c>
      <c r="F357" s="2" t="s">
        <v>2494</v>
      </c>
      <c r="G357" s="4" t="s">
        <v>2495</v>
      </c>
      <c r="H357" s="2" t="s">
        <v>19</v>
      </c>
      <c r="I357" s="2" t="s">
        <v>82</v>
      </c>
      <c r="J357">
        <v>0</v>
      </c>
      <c r="K357">
        <v>0</v>
      </c>
      <c r="L357">
        <v>0</v>
      </c>
      <c r="M357">
        <v>0</v>
      </c>
      <c r="N357" s="5">
        <v>0</v>
      </c>
      <c r="O357">
        <v>0</v>
      </c>
    </row>
    <row r="358" spans="1:15" hidden="1" x14ac:dyDescent="0.25">
      <c r="A358" s="2" t="s">
        <v>2498</v>
      </c>
      <c r="B358" s="3">
        <v>44631</v>
      </c>
      <c r="C358" s="2" t="s">
        <v>2499</v>
      </c>
      <c r="D358" t="s">
        <v>6143</v>
      </c>
      <c r="E358" s="2">
        <v>4</v>
      </c>
      <c r="F358" s="2" t="s">
        <v>2500</v>
      </c>
      <c r="G358" s="4" t="s">
        <v>2501</v>
      </c>
      <c r="H358" s="2" t="s">
        <v>19</v>
      </c>
      <c r="I358" s="2" t="s">
        <v>131</v>
      </c>
      <c r="J358">
        <v>0</v>
      </c>
      <c r="K358">
        <v>0</v>
      </c>
      <c r="L358">
        <v>0</v>
      </c>
      <c r="M358">
        <v>0</v>
      </c>
      <c r="N358" s="5">
        <v>0</v>
      </c>
      <c r="O358">
        <v>0</v>
      </c>
    </row>
    <row r="359" spans="1:15" hidden="1" x14ac:dyDescent="0.25">
      <c r="A359" s="2" t="s">
        <v>2504</v>
      </c>
      <c r="B359" s="3">
        <v>44448</v>
      </c>
      <c r="C359" s="2" t="s">
        <v>2505</v>
      </c>
      <c r="D359" t="s">
        <v>6175</v>
      </c>
      <c r="E359" s="2">
        <v>6</v>
      </c>
      <c r="F359" s="2" t="s">
        <v>2506</v>
      </c>
      <c r="G359" s="4">
        <v>0</v>
      </c>
      <c r="H359" s="2" t="s">
        <v>19</v>
      </c>
      <c r="I359" s="2" t="s">
        <v>296</v>
      </c>
      <c r="J359">
        <v>0</v>
      </c>
      <c r="K359">
        <v>0</v>
      </c>
      <c r="L359">
        <v>0</v>
      </c>
      <c r="M359">
        <v>0</v>
      </c>
      <c r="N359" s="5">
        <v>0</v>
      </c>
      <c r="O359">
        <v>0</v>
      </c>
    </row>
    <row r="360" spans="1:15" hidden="1" x14ac:dyDescent="0.25">
      <c r="A360" s="2" t="s">
        <v>2509</v>
      </c>
      <c r="B360" s="3">
        <v>43599</v>
      </c>
      <c r="C360" s="2" t="s">
        <v>2510</v>
      </c>
      <c r="D360" t="s">
        <v>6182</v>
      </c>
      <c r="E360" s="2">
        <v>1</v>
      </c>
      <c r="F360" s="2" t="s">
        <v>2511</v>
      </c>
      <c r="G360" s="4" t="s">
        <v>2512</v>
      </c>
      <c r="H360" s="2" t="s">
        <v>19</v>
      </c>
      <c r="I360" s="2" t="s">
        <v>143</v>
      </c>
      <c r="J360">
        <v>0</v>
      </c>
      <c r="K360">
        <v>0</v>
      </c>
      <c r="L360">
        <v>0</v>
      </c>
      <c r="M360">
        <v>0</v>
      </c>
      <c r="N360" s="5">
        <v>0</v>
      </c>
      <c r="O360">
        <v>0</v>
      </c>
    </row>
    <row r="361" spans="1:15" hidden="1" x14ac:dyDescent="0.25">
      <c r="A361" s="2" t="s">
        <v>2515</v>
      </c>
      <c r="B361" s="3">
        <v>43563</v>
      </c>
      <c r="C361" s="2" t="s">
        <v>2516</v>
      </c>
      <c r="D361" t="s">
        <v>6178</v>
      </c>
      <c r="E361" s="2">
        <v>6</v>
      </c>
      <c r="F361" s="2" t="s">
        <v>2517</v>
      </c>
      <c r="G361" s="4" t="s">
        <v>2518</v>
      </c>
      <c r="H361" s="2" t="s">
        <v>28</v>
      </c>
      <c r="I361" s="2" t="s">
        <v>286</v>
      </c>
      <c r="J361">
        <v>0</v>
      </c>
      <c r="K361">
        <v>0</v>
      </c>
      <c r="L361">
        <v>0</v>
      </c>
      <c r="M361">
        <v>0</v>
      </c>
      <c r="N361" s="5">
        <v>0</v>
      </c>
      <c r="O361">
        <v>0</v>
      </c>
    </row>
    <row r="362" spans="1:15" hidden="1" x14ac:dyDescent="0.25">
      <c r="A362" s="2" t="s">
        <v>2521</v>
      </c>
      <c r="B362" s="3">
        <v>44058</v>
      </c>
      <c r="C362" s="2" t="s">
        <v>2522</v>
      </c>
      <c r="D362" t="s">
        <v>6149</v>
      </c>
      <c r="E362" s="2">
        <v>2</v>
      </c>
      <c r="F362" s="2" t="s">
        <v>2523</v>
      </c>
      <c r="G362" s="4" t="s">
        <v>2524</v>
      </c>
      <c r="H362" s="2" t="s">
        <v>19</v>
      </c>
      <c r="I362" s="2" t="s">
        <v>60</v>
      </c>
      <c r="J362">
        <v>0</v>
      </c>
      <c r="K362">
        <v>0</v>
      </c>
      <c r="L362">
        <v>0</v>
      </c>
      <c r="M362">
        <v>0</v>
      </c>
      <c r="N362" s="5">
        <v>0</v>
      </c>
      <c r="O362">
        <v>0</v>
      </c>
    </row>
    <row r="363" spans="1:15" hidden="1" x14ac:dyDescent="0.25">
      <c r="A363" s="2" t="s">
        <v>2521</v>
      </c>
      <c r="B363" s="3">
        <v>44058</v>
      </c>
      <c r="C363" s="2" t="s">
        <v>2522</v>
      </c>
      <c r="D363" t="s">
        <v>6146</v>
      </c>
      <c r="E363" s="2">
        <v>1</v>
      </c>
      <c r="F363" s="2" t="s">
        <v>2528</v>
      </c>
      <c r="G363" s="4" t="s">
        <v>2529</v>
      </c>
      <c r="H363" s="2" t="s">
        <v>19</v>
      </c>
      <c r="I363" s="2" t="s">
        <v>130</v>
      </c>
      <c r="J363">
        <v>0</v>
      </c>
      <c r="K363">
        <v>0</v>
      </c>
      <c r="L363">
        <v>0</v>
      </c>
      <c r="M363">
        <v>0</v>
      </c>
      <c r="N363" s="5">
        <v>0</v>
      </c>
      <c r="O363">
        <v>0</v>
      </c>
    </row>
    <row r="364" spans="1:15" hidden="1" x14ac:dyDescent="0.25">
      <c r="A364" s="2" t="s">
        <v>2532</v>
      </c>
      <c r="B364" s="3">
        <v>44686</v>
      </c>
      <c r="C364" s="2" t="s">
        <v>2533</v>
      </c>
      <c r="D364" t="s">
        <v>6171</v>
      </c>
      <c r="E364" s="2">
        <v>5</v>
      </c>
      <c r="F364" s="2" t="s">
        <v>2534</v>
      </c>
      <c r="G364" s="4" t="s">
        <v>2535</v>
      </c>
      <c r="H364" s="2" t="s">
        <v>19</v>
      </c>
      <c r="I364" s="2" t="s">
        <v>184</v>
      </c>
      <c r="J364">
        <v>0</v>
      </c>
      <c r="K364">
        <v>0</v>
      </c>
      <c r="L364">
        <v>0</v>
      </c>
      <c r="M364">
        <v>0</v>
      </c>
      <c r="N364" s="5">
        <v>0</v>
      </c>
      <c r="O364">
        <v>0</v>
      </c>
    </row>
    <row r="365" spans="1:15" hidden="1" x14ac:dyDescent="0.25">
      <c r="A365" s="2" t="s">
        <v>2538</v>
      </c>
      <c r="B365" s="3">
        <v>44282</v>
      </c>
      <c r="C365" s="2" t="s">
        <v>2539</v>
      </c>
      <c r="D365" t="s">
        <v>6162</v>
      </c>
      <c r="E365" s="2">
        <v>6</v>
      </c>
      <c r="F365" s="2" t="s">
        <v>2540</v>
      </c>
      <c r="G365" s="4" t="s">
        <v>2541</v>
      </c>
      <c r="H365" s="2" t="s">
        <v>19</v>
      </c>
      <c r="I365" s="2" t="s">
        <v>92</v>
      </c>
      <c r="J365">
        <v>0</v>
      </c>
      <c r="K365">
        <v>0</v>
      </c>
      <c r="L365">
        <v>0</v>
      </c>
      <c r="M365">
        <v>0</v>
      </c>
      <c r="N365" s="5">
        <v>0</v>
      </c>
      <c r="O365">
        <v>0</v>
      </c>
    </row>
    <row r="366" spans="1:15" hidden="1" x14ac:dyDescent="0.25">
      <c r="A366" s="2" t="s">
        <v>2543</v>
      </c>
      <c r="B366" s="3">
        <v>43582</v>
      </c>
      <c r="C366" s="2" t="s">
        <v>2544</v>
      </c>
      <c r="D366" t="s">
        <v>6183</v>
      </c>
      <c r="E366" s="2">
        <v>6</v>
      </c>
      <c r="F366" s="2" t="s">
        <v>2545</v>
      </c>
      <c r="G366" s="4" t="s">
        <v>2546</v>
      </c>
      <c r="H366" s="2" t="s">
        <v>19</v>
      </c>
      <c r="I366" s="2" t="s">
        <v>30</v>
      </c>
      <c r="J366">
        <v>0</v>
      </c>
      <c r="K366">
        <v>0</v>
      </c>
      <c r="L366">
        <v>0</v>
      </c>
      <c r="M366">
        <v>0</v>
      </c>
      <c r="N366" s="5">
        <v>0</v>
      </c>
      <c r="O366">
        <v>0</v>
      </c>
    </row>
    <row r="367" spans="1:15" hidden="1" x14ac:dyDescent="0.25">
      <c r="A367" s="2" t="s">
        <v>2549</v>
      </c>
      <c r="B367" s="3">
        <v>44464</v>
      </c>
      <c r="C367" s="2" t="s">
        <v>2550</v>
      </c>
      <c r="D367" t="s">
        <v>6169</v>
      </c>
      <c r="E367" s="2">
        <v>1</v>
      </c>
      <c r="F367" s="2" t="s">
        <v>2551</v>
      </c>
      <c r="G367" s="4" t="s">
        <v>2552</v>
      </c>
      <c r="H367" s="2" t="s">
        <v>19</v>
      </c>
      <c r="I367" s="2" t="s">
        <v>282</v>
      </c>
      <c r="J367">
        <v>0</v>
      </c>
      <c r="K367">
        <v>0</v>
      </c>
      <c r="L367">
        <v>0</v>
      </c>
      <c r="M367">
        <v>0</v>
      </c>
      <c r="N367" s="5">
        <v>0</v>
      </c>
      <c r="O367">
        <v>0</v>
      </c>
    </row>
    <row r="368" spans="1:15" hidden="1" x14ac:dyDescent="0.25">
      <c r="A368" s="2" t="s">
        <v>2554</v>
      </c>
      <c r="B368" s="3">
        <v>43874</v>
      </c>
      <c r="C368" s="2" t="s">
        <v>2555</v>
      </c>
      <c r="D368" t="s">
        <v>6144</v>
      </c>
      <c r="E368" s="2">
        <v>6</v>
      </c>
      <c r="F368" s="2" t="s">
        <v>2556</v>
      </c>
      <c r="G368" s="4">
        <v>0</v>
      </c>
      <c r="H368" s="2" t="s">
        <v>19</v>
      </c>
      <c r="I368" s="2" t="s">
        <v>311</v>
      </c>
      <c r="J368">
        <v>0</v>
      </c>
      <c r="K368">
        <v>0</v>
      </c>
      <c r="L368">
        <v>0</v>
      </c>
      <c r="M368">
        <v>0</v>
      </c>
      <c r="N368" s="5">
        <v>0</v>
      </c>
      <c r="O368">
        <v>0</v>
      </c>
    </row>
    <row r="369" spans="1:15" hidden="1" x14ac:dyDescent="0.25">
      <c r="A369" s="2" t="s">
        <v>2559</v>
      </c>
      <c r="B369" s="3">
        <v>44393</v>
      </c>
      <c r="C369" s="2" t="s">
        <v>2560</v>
      </c>
      <c r="D369" t="s">
        <v>6159</v>
      </c>
      <c r="E369" s="2">
        <v>2</v>
      </c>
      <c r="F369" s="2" t="s">
        <v>2561</v>
      </c>
      <c r="G369" s="4">
        <v>0</v>
      </c>
      <c r="H369" s="2" t="s">
        <v>19</v>
      </c>
      <c r="I369" s="2" t="s">
        <v>295</v>
      </c>
      <c r="J369">
        <v>0</v>
      </c>
      <c r="K369">
        <v>0</v>
      </c>
      <c r="L369">
        <v>0</v>
      </c>
      <c r="M369">
        <v>0</v>
      </c>
      <c r="N369" s="5">
        <v>0</v>
      </c>
      <c r="O369">
        <v>0</v>
      </c>
    </row>
    <row r="370" spans="1:15" hidden="1" x14ac:dyDescent="0.25">
      <c r="A370" s="2" t="s">
        <v>2563</v>
      </c>
      <c r="B370" s="3">
        <v>44692</v>
      </c>
      <c r="C370" s="2" t="s">
        <v>2564</v>
      </c>
      <c r="D370" t="s">
        <v>6166</v>
      </c>
      <c r="E370" s="2">
        <v>2</v>
      </c>
      <c r="F370" s="2" t="s">
        <v>2565</v>
      </c>
      <c r="G370" s="4" t="s">
        <v>2566</v>
      </c>
      <c r="H370" s="2" t="s">
        <v>19</v>
      </c>
      <c r="I370" s="2" t="s">
        <v>302</v>
      </c>
      <c r="J370">
        <v>0</v>
      </c>
      <c r="K370">
        <v>0</v>
      </c>
      <c r="L370">
        <v>0</v>
      </c>
      <c r="M370">
        <v>0</v>
      </c>
      <c r="N370" s="5">
        <v>0</v>
      </c>
      <c r="O370">
        <v>0</v>
      </c>
    </row>
    <row r="371" spans="1:15" hidden="1" x14ac:dyDescent="0.25">
      <c r="A371" s="2" t="s">
        <v>2569</v>
      </c>
      <c r="B371" s="3">
        <v>43500</v>
      </c>
      <c r="C371" s="2" t="s">
        <v>2570</v>
      </c>
      <c r="D371" t="s">
        <v>6176</v>
      </c>
      <c r="E371" s="2">
        <v>1</v>
      </c>
      <c r="F371" s="2" t="s">
        <v>2571</v>
      </c>
      <c r="G371" s="4">
        <v>0</v>
      </c>
      <c r="H371" s="2" t="s">
        <v>19</v>
      </c>
      <c r="I371" s="2" t="s">
        <v>107</v>
      </c>
      <c r="J371">
        <v>0</v>
      </c>
      <c r="K371">
        <v>0</v>
      </c>
      <c r="L371">
        <v>0</v>
      </c>
      <c r="M371">
        <v>0</v>
      </c>
      <c r="N371" s="5">
        <v>0</v>
      </c>
      <c r="O371">
        <v>0</v>
      </c>
    </row>
    <row r="372" spans="1:15" hidden="1" x14ac:dyDescent="0.25">
      <c r="A372" s="2" t="s">
        <v>2573</v>
      </c>
      <c r="B372" s="3">
        <v>43501</v>
      </c>
      <c r="C372" s="2" t="s">
        <v>2574</v>
      </c>
      <c r="D372" t="s">
        <v>6183</v>
      </c>
      <c r="E372" s="2">
        <v>2</v>
      </c>
      <c r="F372" s="2" t="s">
        <v>2575</v>
      </c>
      <c r="G372" s="4" t="s">
        <v>2576</v>
      </c>
      <c r="H372" s="2" t="s">
        <v>19</v>
      </c>
      <c r="I372" s="2" t="s">
        <v>216</v>
      </c>
      <c r="J372">
        <v>0</v>
      </c>
      <c r="K372">
        <v>0</v>
      </c>
      <c r="L372">
        <v>0</v>
      </c>
      <c r="M372">
        <v>0</v>
      </c>
      <c r="N372" s="5">
        <v>0</v>
      </c>
      <c r="O372">
        <v>0</v>
      </c>
    </row>
    <row r="373" spans="1:15" hidden="1" x14ac:dyDescent="0.25">
      <c r="A373" s="2" t="s">
        <v>2579</v>
      </c>
      <c r="B373" s="3">
        <v>44705</v>
      </c>
      <c r="C373" s="2" t="s">
        <v>2580</v>
      </c>
      <c r="D373" t="s">
        <v>6180</v>
      </c>
      <c r="E373" s="2">
        <v>6</v>
      </c>
      <c r="F373" s="2" t="s">
        <v>2581</v>
      </c>
      <c r="G373" s="4" t="s">
        <v>2582</v>
      </c>
      <c r="H373" s="2" t="s">
        <v>19</v>
      </c>
      <c r="I373" s="2" t="s">
        <v>105</v>
      </c>
      <c r="J373">
        <v>0</v>
      </c>
      <c r="K373">
        <v>0</v>
      </c>
      <c r="L373">
        <v>0</v>
      </c>
      <c r="M373">
        <v>0</v>
      </c>
      <c r="N373" s="5">
        <v>0</v>
      </c>
      <c r="O373">
        <v>0</v>
      </c>
    </row>
    <row r="374" spans="1:15" hidden="1" x14ac:dyDescent="0.25">
      <c r="A374" s="2" t="s">
        <v>2585</v>
      </c>
      <c r="B374" s="3">
        <v>44108</v>
      </c>
      <c r="C374" s="2" t="s">
        <v>2586</v>
      </c>
      <c r="D374" t="s">
        <v>6173</v>
      </c>
      <c r="E374" s="2">
        <v>6</v>
      </c>
      <c r="F374" s="2" t="s">
        <v>2587</v>
      </c>
      <c r="G374" s="4" t="s">
        <v>2588</v>
      </c>
      <c r="H374" s="2" t="s">
        <v>19</v>
      </c>
      <c r="I374" s="2" t="s">
        <v>166</v>
      </c>
      <c r="J374">
        <v>0</v>
      </c>
      <c r="K374">
        <v>0</v>
      </c>
      <c r="L374">
        <v>0</v>
      </c>
      <c r="M374">
        <v>0</v>
      </c>
      <c r="N374" s="5">
        <v>0</v>
      </c>
      <c r="O374">
        <v>0</v>
      </c>
    </row>
    <row r="375" spans="1:15" hidden="1" x14ac:dyDescent="0.25">
      <c r="A375" s="2" t="s">
        <v>2591</v>
      </c>
      <c r="B375" s="3">
        <v>44742</v>
      </c>
      <c r="C375" s="2" t="s">
        <v>2592</v>
      </c>
      <c r="D375" t="s">
        <v>6158</v>
      </c>
      <c r="E375" s="2">
        <v>3</v>
      </c>
      <c r="F375" s="2" t="s">
        <v>2593</v>
      </c>
      <c r="G375" s="4">
        <v>0</v>
      </c>
      <c r="H375" s="2" t="s">
        <v>318</v>
      </c>
      <c r="I375" s="2" t="s">
        <v>2596</v>
      </c>
      <c r="J375">
        <v>0</v>
      </c>
      <c r="K375">
        <v>0</v>
      </c>
      <c r="L375">
        <v>0</v>
      </c>
      <c r="M375">
        <v>0</v>
      </c>
      <c r="N375" s="5">
        <v>0</v>
      </c>
      <c r="O375">
        <v>0</v>
      </c>
    </row>
    <row r="376" spans="1:15" hidden="1" x14ac:dyDescent="0.25">
      <c r="A376" s="2" t="s">
        <v>2597</v>
      </c>
      <c r="B376" s="3">
        <v>44125</v>
      </c>
      <c r="C376" s="2" t="s">
        <v>2598</v>
      </c>
      <c r="D376" t="s">
        <v>6161</v>
      </c>
      <c r="E376" s="2">
        <v>4</v>
      </c>
      <c r="F376" s="2" t="s">
        <v>2599</v>
      </c>
      <c r="G376" s="4" t="s">
        <v>2600</v>
      </c>
      <c r="H376" s="2" t="s">
        <v>19</v>
      </c>
      <c r="I376" s="2" t="s">
        <v>162</v>
      </c>
      <c r="J376">
        <v>0</v>
      </c>
      <c r="K376">
        <v>0</v>
      </c>
      <c r="L376">
        <v>0</v>
      </c>
      <c r="M376">
        <v>0</v>
      </c>
      <c r="N376" s="5">
        <v>0</v>
      </c>
      <c r="O376">
        <v>0</v>
      </c>
    </row>
    <row r="377" spans="1:15" hidden="1" x14ac:dyDescent="0.25">
      <c r="A377" s="2" t="s">
        <v>2603</v>
      </c>
      <c r="B377" s="3">
        <v>44120</v>
      </c>
      <c r="C377" s="2" t="s">
        <v>2604</v>
      </c>
      <c r="D377" t="s">
        <v>6152</v>
      </c>
      <c r="E377" s="2">
        <v>2</v>
      </c>
      <c r="F377" s="2" t="s">
        <v>2605</v>
      </c>
      <c r="G377" s="4" t="s">
        <v>2606</v>
      </c>
      <c r="H377" s="2" t="s">
        <v>19</v>
      </c>
      <c r="I377" s="2" t="s">
        <v>203</v>
      </c>
      <c r="J377">
        <v>0</v>
      </c>
      <c r="K377">
        <v>0</v>
      </c>
      <c r="L377">
        <v>0</v>
      </c>
      <c r="M377">
        <v>0</v>
      </c>
      <c r="N377" s="5">
        <v>0</v>
      </c>
      <c r="O377">
        <v>0</v>
      </c>
    </row>
    <row r="378" spans="1:15" hidden="1" x14ac:dyDescent="0.25">
      <c r="A378" s="2" t="s">
        <v>2609</v>
      </c>
      <c r="B378" s="3">
        <v>44097</v>
      </c>
      <c r="C378" s="2" t="s">
        <v>2610</v>
      </c>
      <c r="D378" t="s">
        <v>6146</v>
      </c>
      <c r="E378" s="2">
        <v>1</v>
      </c>
      <c r="F378" s="2" t="s">
        <v>2611</v>
      </c>
      <c r="G378" s="4" t="s">
        <v>2612</v>
      </c>
      <c r="H378" s="2" t="s">
        <v>19</v>
      </c>
      <c r="I378" s="2" t="s">
        <v>183</v>
      </c>
      <c r="J378">
        <v>0</v>
      </c>
      <c r="K378">
        <v>0</v>
      </c>
      <c r="L378">
        <v>0</v>
      </c>
      <c r="M378">
        <v>0</v>
      </c>
      <c r="N378" s="5">
        <v>0</v>
      </c>
      <c r="O378">
        <v>0</v>
      </c>
    </row>
    <row r="379" spans="1:15" hidden="1" x14ac:dyDescent="0.25">
      <c r="A379" s="2" t="s">
        <v>2615</v>
      </c>
      <c r="B379" s="3">
        <v>43532</v>
      </c>
      <c r="C379" s="2" t="s">
        <v>2616</v>
      </c>
      <c r="D379" t="s">
        <v>6163</v>
      </c>
      <c r="E379" s="2">
        <v>3</v>
      </c>
      <c r="F379" s="2" t="s">
        <v>2617</v>
      </c>
      <c r="G379" s="4" t="s">
        <v>2618</v>
      </c>
      <c r="H379" s="2" t="s">
        <v>318</v>
      </c>
      <c r="I379" s="2" t="s">
        <v>1700</v>
      </c>
      <c r="J379">
        <v>0</v>
      </c>
      <c r="K379">
        <v>0</v>
      </c>
      <c r="L379">
        <v>0</v>
      </c>
      <c r="M379">
        <v>0</v>
      </c>
      <c r="N379" s="5">
        <v>0</v>
      </c>
      <c r="O379">
        <v>0</v>
      </c>
    </row>
    <row r="380" spans="1:15" hidden="1" x14ac:dyDescent="0.25">
      <c r="A380" s="2" t="s">
        <v>2621</v>
      </c>
      <c r="B380" s="3">
        <v>44377</v>
      </c>
      <c r="C380" s="2" t="s">
        <v>2622</v>
      </c>
      <c r="D380" t="s">
        <v>6180</v>
      </c>
      <c r="E380" s="2">
        <v>3</v>
      </c>
      <c r="F380" s="2" t="s">
        <v>2623</v>
      </c>
      <c r="G380" s="4" t="s">
        <v>2624</v>
      </c>
      <c r="H380" s="2" t="s">
        <v>318</v>
      </c>
      <c r="I380" s="2" t="s">
        <v>468</v>
      </c>
      <c r="J380">
        <v>0</v>
      </c>
      <c r="K380">
        <v>0</v>
      </c>
      <c r="L380">
        <v>0</v>
      </c>
      <c r="M380">
        <v>0</v>
      </c>
      <c r="N380" s="5">
        <v>0</v>
      </c>
      <c r="O380">
        <v>0</v>
      </c>
    </row>
    <row r="381" spans="1:15" hidden="1" x14ac:dyDescent="0.25">
      <c r="A381" s="2" t="s">
        <v>2627</v>
      </c>
      <c r="B381" s="3">
        <v>43690</v>
      </c>
      <c r="C381" s="2" t="s">
        <v>2628</v>
      </c>
      <c r="D381" t="s">
        <v>6173</v>
      </c>
      <c r="E381" s="2">
        <v>6</v>
      </c>
      <c r="F381" s="2" t="s">
        <v>2629</v>
      </c>
      <c r="G381" s="4" t="s">
        <v>2630</v>
      </c>
      <c r="H381" s="2" t="s">
        <v>28</v>
      </c>
      <c r="I381" s="2" t="s">
        <v>70</v>
      </c>
      <c r="J381">
        <v>0</v>
      </c>
      <c r="K381">
        <v>0</v>
      </c>
      <c r="L381">
        <v>0</v>
      </c>
      <c r="M381">
        <v>0</v>
      </c>
      <c r="N381" s="5">
        <v>0</v>
      </c>
      <c r="O381">
        <v>0</v>
      </c>
    </row>
    <row r="382" spans="1:15" hidden="1" x14ac:dyDescent="0.25">
      <c r="A382" s="2" t="s">
        <v>2632</v>
      </c>
      <c r="B382" s="3">
        <v>44249</v>
      </c>
      <c r="C382" s="2" t="s">
        <v>2331</v>
      </c>
      <c r="D382" t="s">
        <v>6169</v>
      </c>
      <c r="E382" s="2">
        <v>3</v>
      </c>
      <c r="F382" s="2" t="s">
        <v>2634</v>
      </c>
      <c r="G382" s="4" t="s">
        <v>2635</v>
      </c>
      <c r="H382" s="2" t="s">
        <v>19</v>
      </c>
      <c r="I382" s="2" t="s">
        <v>83</v>
      </c>
      <c r="J382">
        <v>0</v>
      </c>
      <c r="K382">
        <v>0</v>
      </c>
      <c r="L382">
        <v>0</v>
      </c>
      <c r="M382">
        <v>0</v>
      </c>
      <c r="N382" s="5">
        <v>0</v>
      </c>
      <c r="O382">
        <v>0</v>
      </c>
    </row>
    <row r="383" spans="1:15" hidden="1" x14ac:dyDescent="0.25">
      <c r="A383" s="2" t="s">
        <v>2638</v>
      </c>
      <c r="B383" s="3">
        <v>44646</v>
      </c>
      <c r="C383" s="2" t="s">
        <v>2639</v>
      </c>
      <c r="D383" t="s">
        <v>6154</v>
      </c>
      <c r="E383" s="2">
        <v>5</v>
      </c>
      <c r="F383" s="2" t="s">
        <v>2640</v>
      </c>
      <c r="G383" s="4" t="s">
        <v>2641</v>
      </c>
      <c r="H383" s="2" t="s">
        <v>19</v>
      </c>
      <c r="I383" s="2" t="s">
        <v>27</v>
      </c>
      <c r="J383">
        <v>0</v>
      </c>
      <c r="K383">
        <v>0</v>
      </c>
      <c r="L383">
        <v>0</v>
      </c>
      <c r="M383">
        <v>0</v>
      </c>
      <c r="N383" s="5">
        <v>0</v>
      </c>
      <c r="O383">
        <v>0</v>
      </c>
    </row>
    <row r="384" spans="1:15" hidden="1" x14ac:dyDescent="0.25">
      <c r="A384" s="2" t="s">
        <v>2644</v>
      </c>
      <c r="B384" s="3">
        <v>43840</v>
      </c>
      <c r="C384" s="2" t="s">
        <v>2645</v>
      </c>
      <c r="D384" t="s">
        <v>6144</v>
      </c>
      <c r="E384" s="2">
        <v>3</v>
      </c>
      <c r="F384" s="2" t="s">
        <v>2646</v>
      </c>
      <c r="G384" s="4" t="s">
        <v>2647</v>
      </c>
      <c r="H384" s="2" t="s">
        <v>19</v>
      </c>
      <c r="I384" s="2" t="s">
        <v>20</v>
      </c>
      <c r="J384">
        <v>0</v>
      </c>
      <c r="K384">
        <v>0</v>
      </c>
      <c r="L384">
        <v>0</v>
      </c>
      <c r="M384">
        <v>0</v>
      </c>
      <c r="N384" s="5">
        <v>0</v>
      </c>
      <c r="O384">
        <v>0</v>
      </c>
    </row>
    <row r="385" spans="1:15" hidden="1" x14ac:dyDescent="0.25">
      <c r="A385" s="2" t="s">
        <v>2650</v>
      </c>
      <c r="B385" s="3">
        <v>43586</v>
      </c>
      <c r="C385" s="2" t="s">
        <v>2651</v>
      </c>
      <c r="D385" t="s">
        <v>6176</v>
      </c>
      <c r="E385" s="2">
        <v>6</v>
      </c>
      <c r="F385" s="2" t="s">
        <v>2652</v>
      </c>
      <c r="G385" s="4">
        <v>0</v>
      </c>
      <c r="H385" s="2" t="s">
        <v>19</v>
      </c>
      <c r="I385" s="2" t="s">
        <v>172</v>
      </c>
      <c r="J385">
        <v>0</v>
      </c>
      <c r="K385">
        <v>0</v>
      </c>
      <c r="L385">
        <v>0</v>
      </c>
      <c r="M385">
        <v>0</v>
      </c>
      <c r="N385" s="5">
        <v>0</v>
      </c>
      <c r="O385">
        <v>0</v>
      </c>
    </row>
    <row r="386" spans="1:15" hidden="1" x14ac:dyDescent="0.25">
      <c r="A386" s="2" t="s">
        <v>2655</v>
      </c>
      <c r="B386" s="3">
        <v>43870</v>
      </c>
      <c r="C386" s="2" t="s">
        <v>2656</v>
      </c>
      <c r="D386" t="s">
        <v>6182</v>
      </c>
      <c r="E386" s="2">
        <v>4</v>
      </c>
      <c r="F386" s="2" t="s">
        <v>2657</v>
      </c>
      <c r="G386" s="4">
        <v>0</v>
      </c>
      <c r="H386" s="2" t="s">
        <v>19</v>
      </c>
      <c r="I386" s="2" t="s">
        <v>52</v>
      </c>
      <c r="J386">
        <v>0</v>
      </c>
      <c r="K386">
        <v>0</v>
      </c>
      <c r="L386">
        <v>0</v>
      </c>
      <c r="M386">
        <v>0</v>
      </c>
      <c r="N386" s="5">
        <v>0</v>
      </c>
      <c r="O386">
        <v>0</v>
      </c>
    </row>
    <row r="387" spans="1:15" hidden="1" x14ac:dyDescent="0.25">
      <c r="A387" s="2" t="s">
        <v>2660</v>
      </c>
      <c r="B387" s="3">
        <v>44559</v>
      </c>
      <c r="C387" s="2" t="s">
        <v>2661</v>
      </c>
      <c r="D387" t="s">
        <v>6160</v>
      </c>
      <c r="E387" s="2">
        <v>5</v>
      </c>
      <c r="F387" s="2" t="s">
        <v>2662</v>
      </c>
      <c r="G387" s="4" t="s">
        <v>2663</v>
      </c>
      <c r="H387" s="2" t="s">
        <v>19</v>
      </c>
      <c r="I387" s="2" t="s">
        <v>116</v>
      </c>
      <c r="J387">
        <v>0</v>
      </c>
      <c r="K387">
        <v>0</v>
      </c>
      <c r="L387">
        <v>0</v>
      </c>
      <c r="M387">
        <v>0</v>
      </c>
      <c r="N387" s="5">
        <v>0</v>
      </c>
      <c r="O387">
        <v>0</v>
      </c>
    </row>
    <row r="388" spans="1:15" hidden="1" x14ac:dyDescent="0.25">
      <c r="A388" s="2" t="s">
        <v>2666</v>
      </c>
      <c r="B388" s="3">
        <v>44083</v>
      </c>
      <c r="C388" s="2" t="s">
        <v>2667</v>
      </c>
      <c r="D388" t="s">
        <v>6154</v>
      </c>
      <c r="E388" s="2">
        <v>6</v>
      </c>
      <c r="F388" s="2" t="s">
        <v>2668</v>
      </c>
      <c r="G388" s="4">
        <v>0</v>
      </c>
      <c r="H388" s="2" t="s">
        <v>19</v>
      </c>
      <c r="I388" s="2" t="s">
        <v>83</v>
      </c>
      <c r="J388">
        <v>0</v>
      </c>
      <c r="K388">
        <v>0</v>
      </c>
      <c r="L388">
        <v>0</v>
      </c>
      <c r="M388">
        <v>0</v>
      </c>
      <c r="N388" s="5">
        <v>0</v>
      </c>
      <c r="O388">
        <v>0</v>
      </c>
    </row>
    <row r="389" spans="1:15" hidden="1" x14ac:dyDescent="0.25">
      <c r="A389" s="2" t="s">
        <v>2671</v>
      </c>
      <c r="B389" s="3">
        <v>44455</v>
      </c>
      <c r="C389" s="2" t="s">
        <v>2672</v>
      </c>
      <c r="D389" t="s">
        <v>6171</v>
      </c>
      <c r="E389" s="2">
        <v>5</v>
      </c>
      <c r="F389" s="2" t="s">
        <v>2673</v>
      </c>
      <c r="G389" s="4" t="s">
        <v>2674</v>
      </c>
      <c r="H389" s="2" t="s">
        <v>19</v>
      </c>
      <c r="I389" s="2" t="s">
        <v>18</v>
      </c>
      <c r="J389">
        <v>0</v>
      </c>
      <c r="K389">
        <v>0</v>
      </c>
      <c r="L389">
        <v>0</v>
      </c>
      <c r="M389">
        <v>0</v>
      </c>
      <c r="N389" s="5">
        <v>0</v>
      </c>
      <c r="O389">
        <v>0</v>
      </c>
    </row>
    <row r="390" spans="1:15" hidden="1" x14ac:dyDescent="0.25">
      <c r="A390" s="2" t="s">
        <v>2677</v>
      </c>
      <c r="B390" s="3">
        <v>44130</v>
      </c>
      <c r="C390" s="2" t="s">
        <v>2678</v>
      </c>
      <c r="D390" t="s">
        <v>6150</v>
      </c>
      <c r="E390" s="2">
        <v>3</v>
      </c>
      <c r="F390" s="2" t="s">
        <v>2679</v>
      </c>
      <c r="G390" s="4" t="s">
        <v>2680</v>
      </c>
      <c r="H390" s="2" t="s">
        <v>19</v>
      </c>
      <c r="I390" s="2" t="s">
        <v>259</v>
      </c>
      <c r="J390">
        <v>0</v>
      </c>
      <c r="K390">
        <v>0</v>
      </c>
      <c r="L390">
        <v>0</v>
      </c>
      <c r="M390">
        <v>0</v>
      </c>
      <c r="N390" s="5">
        <v>0</v>
      </c>
      <c r="O390">
        <v>0</v>
      </c>
    </row>
    <row r="391" spans="1:15" hidden="1" x14ac:dyDescent="0.25">
      <c r="A391" s="2" t="s">
        <v>2683</v>
      </c>
      <c r="B391" s="3">
        <v>43536</v>
      </c>
      <c r="C391" s="2" t="s">
        <v>2684</v>
      </c>
      <c r="D391" t="s">
        <v>6169</v>
      </c>
      <c r="E391" s="2">
        <v>3</v>
      </c>
      <c r="F391" s="2" t="s">
        <v>2685</v>
      </c>
      <c r="G391" s="4" t="s">
        <v>2686</v>
      </c>
      <c r="H391" s="2" t="s">
        <v>19</v>
      </c>
      <c r="I391" s="2" t="s">
        <v>171</v>
      </c>
      <c r="J391">
        <v>0</v>
      </c>
      <c r="K391">
        <v>0</v>
      </c>
      <c r="L391">
        <v>0</v>
      </c>
      <c r="M391">
        <v>0</v>
      </c>
      <c r="N391" s="5">
        <v>0</v>
      </c>
      <c r="O391">
        <v>0</v>
      </c>
    </row>
    <row r="392" spans="1:15" hidden="1" x14ac:dyDescent="0.25">
      <c r="A392" s="2" t="s">
        <v>2689</v>
      </c>
      <c r="B392" s="3">
        <v>44245</v>
      </c>
      <c r="C392" s="2" t="s">
        <v>2690</v>
      </c>
      <c r="D392" t="s">
        <v>6144</v>
      </c>
      <c r="E392" s="2">
        <v>2</v>
      </c>
      <c r="F392" s="2" t="s">
        <v>2691</v>
      </c>
      <c r="G392" s="4" t="s">
        <v>2692</v>
      </c>
      <c r="H392" s="2" t="s">
        <v>19</v>
      </c>
      <c r="I392" s="2" t="s">
        <v>173</v>
      </c>
      <c r="J392">
        <v>0</v>
      </c>
      <c r="K392">
        <v>0</v>
      </c>
      <c r="L392">
        <v>0</v>
      </c>
      <c r="M392">
        <v>0</v>
      </c>
      <c r="N392" s="5">
        <v>0</v>
      </c>
      <c r="O392">
        <v>0</v>
      </c>
    </row>
    <row r="393" spans="1:15" hidden="1" x14ac:dyDescent="0.25">
      <c r="A393" s="2" t="s">
        <v>2694</v>
      </c>
      <c r="B393" s="3">
        <v>44133</v>
      </c>
      <c r="C393" s="2" t="s">
        <v>2695</v>
      </c>
      <c r="D393" t="s">
        <v>6157</v>
      </c>
      <c r="E393" s="2">
        <v>2</v>
      </c>
      <c r="F393" s="2" t="s">
        <v>2696</v>
      </c>
      <c r="G393" s="4" t="s">
        <v>2697</v>
      </c>
      <c r="H393" s="2" t="s">
        <v>19</v>
      </c>
      <c r="I393" s="2" t="s">
        <v>33</v>
      </c>
      <c r="J393">
        <v>0</v>
      </c>
      <c r="K393">
        <v>0</v>
      </c>
      <c r="L393">
        <v>0</v>
      </c>
      <c r="M393">
        <v>0</v>
      </c>
      <c r="N393" s="5">
        <v>0</v>
      </c>
      <c r="O393">
        <v>0</v>
      </c>
    </row>
    <row r="394" spans="1:15" hidden="1" x14ac:dyDescent="0.25">
      <c r="A394" s="2" t="s">
        <v>2699</v>
      </c>
      <c r="B394" s="3">
        <v>44445</v>
      </c>
      <c r="C394" s="2" t="s">
        <v>2700</v>
      </c>
      <c r="D394" t="s">
        <v>6171</v>
      </c>
      <c r="E394" s="2">
        <v>6</v>
      </c>
      <c r="F394" s="2" t="s">
        <v>2701</v>
      </c>
      <c r="G394" s="4" t="s">
        <v>2702</v>
      </c>
      <c r="H394" s="2" t="s">
        <v>19</v>
      </c>
      <c r="I394" s="2" t="s">
        <v>178</v>
      </c>
      <c r="J394">
        <v>0</v>
      </c>
      <c r="K394">
        <v>0</v>
      </c>
      <c r="L394">
        <v>0</v>
      </c>
      <c r="M394">
        <v>0</v>
      </c>
      <c r="N394" s="5">
        <v>0</v>
      </c>
      <c r="O394">
        <v>0</v>
      </c>
    </row>
    <row r="395" spans="1:15" hidden="1" x14ac:dyDescent="0.25">
      <c r="A395" s="2" t="s">
        <v>2699</v>
      </c>
      <c r="B395" s="3">
        <v>44445</v>
      </c>
      <c r="C395" s="2" t="s">
        <v>2700</v>
      </c>
      <c r="D395" t="s">
        <v>6167</v>
      </c>
      <c r="E395" s="2">
        <v>1</v>
      </c>
      <c r="F395" s="2" t="s">
        <v>2706</v>
      </c>
      <c r="G395" s="4" t="s">
        <v>2707</v>
      </c>
      <c r="H395" s="2" t="s">
        <v>19</v>
      </c>
      <c r="I395" s="2" t="s">
        <v>261</v>
      </c>
      <c r="J395">
        <v>0</v>
      </c>
      <c r="K395">
        <v>0</v>
      </c>
      <c r="L395">
        <v>0</v>
      </c>
      <c r="M395">
        <v>0</v>
      </c>
      <c r="N395" s="5">
        <v>0</v>
      </c>
      <c r="O395">
        <v>0</v>
      </c>
    </row>
    <row r="396" spans="1:15" hidden="1" x14ac:dyDescent="0.25">
      <c r="A396" s="2" t="s">
        <v>2710</v>
      </c>
      <c r="B396" s="3">
        <v>44083</v>
      </c>
      <c r="C396" s="2" t="s">
        <v>2711</v>
      </c>
      <c r="D396" t="s">
        <v>6142</v>
      </c>
      <c r="E396" s="2">
        <v>4</v>
      </c>
      <c r="F396" s="2" t="s">
        <v>2712</v>
      </c>
      <c r="G396" s="4" t="s">
        <v>2713</v>
      </c>
      <c r="H396" s="2" t="s">
        <v>19</v>
      </c>
      <c r="I396" s="2" t="s">
        <v>33</v>
      </c>
      <c r="J396">
        <v>0</v>
      </c>
      <c r="K396">
        <v>0</v>
      </c>
      <c r="L396">
        <v>0</v>
      </c>
      <c r="M396">
        <v>0</v>
      </c>
      <c r="N396" s="5">
        <v>0</v>
      </c>
      <c r="O396">
        <v>0</v>
      </c>
    </row>
    <row r="397" spans="1:15" hidden="1" x14ac:dyDescent="0.25">
      <c r="A397" s="2" t="s">
        <v>2716</v>
      </c>
      <c r="B397" s="3">
        <v>44465</v>
      </c>
      <c r="C397" s="2" t="s">
        <v>2717</v>
      </c>
      <c r="D397" t="s">
        <v>6169</v>
      </c>
      <c r="E397" s="2">
        <v>6</v>
      </c>
      <c r="F397" s="2" t="s">
        <v>2718</v>
      </c>
      <c r="G397" s="4" t="s">
        <v>2719</v>
      </c>
      <c r="H397" s="2" t="s">
        <v>19</v>
      </c>
      <c r="I397" s="2" t="s">
        <v>47</v>
      </c>
      <c r="J397">
        <v>0</v>
      </c>
      <c r="K397">
        <v>0</v>
      </c>
      <c r="L397">
        <v>0</v>
      </c>
      <c r="M397">
        <v>0</v>
      </c>
      <c r="N397" s="5">
        <v>0</v>
      </c>
      <c r="O397">
        <v>0</v>
      </c>
    </row>
    <row r="398" spans="1:15" hidden="1" x14ac:dyDescent="0.25">
      <c r="A398" s="2" t="s">
        <v>2721</v>
      </c>
      <c r="B398" s="3">
        <v>44140</v>
      </c>
      <c r="C398" s="2" t="s">
        <v>2722</v>
      </c>
      <c r="D398" t="s">
        <v>6180</v>
      </c>
      <c r="E398" s="2">
        <v>5</v>
      </c>
      <c r="F398" s="2" t="s">
        <v>2723</v>
      </c>
      <c r="G398" s="4" t="s">
        <v>2724</v>
      </c>
      <c r="H398" s="2" t="s">
        <v>19</v>
      </c>
      <c r="I398" s="2" t="s">
        <v>272</v>
      </c>
      <c r="J398">
        <v>0</v>
      </c>
      <c r="K398">
        <v>0</v>
      </c>
      <c r="L398">
        <v>0</v>
      </c>
      <c r="M398">
        <v>0</v>
      </c>
      <c r="N398" s="5">
        <v>0</v>
      </c>
      <c r="O398">
        <v>0</v>
      </c>
    </row>
    <row r="399" spans="1:15" hidden="1" x14ac:dyDescent="0.25">
      <c r="A399" s="2" t="s">
        <v>2727</v>
      </c>
      <c r="B399" s="3">
        <v>43720</v>
      </c>
      <c r="C399" s="2" t="s">
        <v>2728</v>
      </c>
      <c r="D399" t="s">
        <v>6169</v>
      </c>
      <c r="E399" s="2">
        <v>4</v>
      </c>
      <c r="F399" s="2" t="s">
        <v>2729</v>
      </c>
      <c r="G399" s="4" t="s">
        <v>2730</v>
      </c>
      <c r="H399" s="2" t="s">
        <v>19</v>
      </c>
      <c r="I399" s="2" t="s">
        <v>219</v>
      </c>
      <c r="J399">
        <v>0</v>
      </c>
      <c r="K399">
        <v>0</v>
      </c>
      <c r="L399">
        <v>0</v>
      </c>
      <c r="M399">
        <v>0</v>
      </c>
      <c r="N399" s="5">
        <v>0</v>
      </c>
      <c r="O399">
        <v>0</v>
      </c>
    </row>
    <row r="400" spans="1:15" hidden="1" x14ac:dyDescent="0.25">
      <c r="A400" s="2" t="s">
        <v>2733</v>
      </c>
      <c r="B400" s="3">
        <v>43677</v>
      </c>
      <c r="C400" s="2" t="s">
        <v>2734</v>
      </c>
      <c r="D400" t="s">
        <v>6154</v>
      </c>
      <c r="E400" s="2">
        <v>6</v>
      </c>
      <c r="F400" s="2" t="s">
        <v>2735</v>
      </c>
      <c r="G400" s="4" t="s">
        <v>2736</v>
      </c>
      <c r="H400" s="2" t="s">
        <v>19</v>
      </c>
      <c r="I400" s="2" t="s">
        <v>91</v>
      </c>
      <c r="J400">
        <v>0</v>
      </c>
      <c r="K400">
        <v>0</v>
      </c>
      <c r="L400">
        <v>0</v>
      </c>
      <c r="M400">
        <v>0</v>
      </c>
      <c r="N400" s="5">
        <v>0</v>
      </c>
      <c r="O400">
        <v>0</v>
      </c>
    </row>
    <row r="401" spans="1:15" hidden="1" x14ac:dyDescent="0.25">
      <c r="A401" s="2" t="s">
        <v>2739</v>
      </c>
      <c r="B401" s="3">
        <v>43539</v>
      </c>
      <c r="C401" s="2" t="s">
        <v>2740</v>
      </c>
      <c r="D401" t="s">
        <v>6185</v>
      </c>
      <c r="E401" s="2">
        <v>6</v>
      </c>
      <c r="F401" s="2" t="s">
        <v>2741</v>
      </c>
      <c r="G401" s="4" t="s">
        <v>2742</v>
      </c>
      <c r="H401" s="2" t="s">
        <v>28</v>
      </c>
      <c r="I401" s="2" t="s">
        <v>305</v>
      </c>
      <c r="J401">
        <v>0</v>
      </c>
      <c r="K401">
        <v>0</v>
      </c>
      <c r="L401">
        <v>0</v>
      </c>
      <c r="M401">
        <v>0</v>
      </c>
      <c r="N401" s="5">
        <v>0</v>
      </c>
      <c r="O401">
        <v>0</v>
      </c>
    </row>
    <row r="402" spans="1:15" hidden="1" x14ac:dyDescent="0.25">
      <c r="A402" s="2" t="s">
        <v>2745</v>
      </c>
      <c r="B402" s="3">
        <v>44332</v>
      </c>
      <c r="C402" s="2" t="s">
        <v>2746</v>
      </c>
      <c r="D402" t="s">
        <v>6170</v>
      </c>
      <c r="E402" s="2">
        <v>4</v>
      </c>
      <c r="F402" s="2" t="s">
        <v>2747</v>
      </c>
      <c r="G402" s="4" t="s">
        <v>2748</v>
      </c>
      <c r="H402" s="2" t="s">
        <v>19</v>
      </c>
      <c r="I402" s="2" t="s">
        <v>47</v>
      </c>
      <c r="J402">
        <v>0</v>
      </c>
      <c r="K402">
        <v>0</v>
      </c>
      <c r="L402">
        <v>0</v>
      </c>
      <c r="M402">
        <v>0</v>
      </c>
      <c r="N402" s="5">
        <v>0</v>
      </c>
      <c r="O402">
        <v>0</v>
      </c>
    </row>
    <row r="403" spans="1:15" hidden="1" x14ac:dyDescent="0.25">
      <c r="A403" s="2" t="s">
        <v>2751</v>
      </c>
      <c r="B403" s="3">
        <v>43591</v>
      </c>
      <c r="C403" s="2" t="s">
        <v>2752</v>
      </c>
      <c r="D403" t="s">
        <v>6159</v>
      </c>
      <c r="E403" s="2">
        <v>2</v>
      </c>
      <c r="F403" s="2" t="s">
        <v>2753</v>
      </c>
      <c r="G403" s="4" t="s">
        <v>2754</v>
      </c>
      <c r="H403" s="2" t="s">
        <v>19</v>
      </c>
      <c r="I403" s="2" t="s">
        <v>49</v>
      </c>
      <c r="J403">
        <v>0</v>
      </c>
      <c r="K403">
        <v>0</v>
      </c>
      <c r="L403">
        <v>0</v>
      </c>
      <c r="M403">
        <v>0</v>
      </c>
      <c r="N403" s="5">
        <v>0</v>
      </c>
      <c r="O403">
        <v>0</v>
      </c>
    </row>
    <row r="404" spans="1:15" hidden="1" x14ac:dyDescent="0.25">
      <c r="A404" s="2" t="s">
        <v>2757</v>
      </c>
      <c r="B404" s="3">
        <v>43502</v>
      </c>
      <c r="C404" s="2" t="s">
        <v>2758</v>
      </c>
      <c r="D404" t="s">
        <v>6177</v>
      </c>
      <c r="E404" s="2">
        <v>3</v>
      </c>
      <c r="F404" s="2" t="s">
        <v>2759</v>
      </c>
      <c r="G404" s="4" t="s">
        <v>2760</v>
      </c>
      <c r="H404" s="2" t="s">
        <v>19</v>
      </c>
      <c r="I404" s="2" t="s">
        <v>48</v>
      </c>
      <c r="J404">
        <v>0</v>
      </c>
      <c r="K404">
        <v>0</v>
      </c>
      <c r="L404">
        <v>0</v>
      </c>
      <c r="M404">
        <v>0</v>
      </c>
      <c r="N404" s="5">
        <v>0</v>
      </c>
      <c r="O404">
        <v>0</v>
      </c>
    </row>
    <row r="405" spans="1:15" hidden="1" x14ac:dyDescent="0.25">
      <c r="A405" s="2" t="s">
        <v>2763</v>
      </c>
      <c r="B405" s="3">
        <v>44295</v>
      </c>
      <c r="C405" s="2" t="s">
        <v>2764</v>
      </c>
      <c r="D405" t="s">
        <v>6145</v>
      </c>
      <c r="E405" s="2">
        <v>2</v>
      </c>
      <c r="F405" s="2" t="s">
        <v>2765</v>
      </c>
      <c r="G405" s="4" t="s">
        <v>2766</v>
      </c>
      <c r="H405" s="2" t="s">
        <v>19</v>
      </c>
      <c r="I405" s="2" t="s">
        <v>52</v>
      </c>
      <c r="J405">
        <v>0</v>
      </c>
      <c r="K405">
        <v>0</v>
      </c>
      <c r="L405">
        <v>0</v>
      </c>
      <c r="M405">
        <v>0</v>
      </c>
      <c r="N405" s="5">
        <v>0</v>
      </c>
      <c r="O405">
        <v>0</v>
      </c>
    </row>
    <row r="406" spans="1:15" hidden="1" x14ac:dyDescent="0.25">
      <c r="A406" s="2" t="s">
        <v>2769</v>
      </c>
      <c r="B406" s="3">
        <v>43971</v>
      </c>
      <c r="C406" s="2" t="s">
        <v>2770</v>
      </c>
      <c r="D406" t="s">
        <v>6147</v>
      </c>
      <c r="E406" s="2">
        <v>4</v>
      </c>
      <c r="F406" s="2" t="s">
        <v>2771</v>
      </c>
      <c r="G406" s="4" t="s">
        <v>2772</v>
      </c>
      <c r="H406" s="2" t="s">
        <v>318</v>
      </c>
      <c r="I406" s="2" t="s">
        <v>469</v>
      </c>
      <c r="J406">
        <v>0</v>
      </c>
      <c r="K406">
        <v>0</v>
      </c>
      <c r="L406">
        <v>0</v>
      </c>
      <c r="M406">
        <v>0</v>
      </c>
      <c r="N406" s="5">
        <v>0</v>
      </c>
      <c r="O406">
        <v>0</v>
      </c>
    </row>
    <row r="407" spans="1:15" hidden="1" x14ac:dyDescent="0.25">
      <c r="A407" s="2" t="s">
        <v>2775</v>
      </c>
      <c r="B407" s="3">
        <v>44167</v>
      </c>
      <c r="C407" s="2" t="s">
        <v>2776</v>
      </c>
      <c r="D407" t="s">
        <v>6139</v>
      </c>
      <c r="E407" s="2">
        <v>3</v>
      </c>
      <c r="F407" s="2" t="s">
        <v>2777</v>
      </c>
      <c r="G407" s="4" t="s">
        <v>2778</v>
      </c>
      <c r="H407" s="2" t="s">
        <v>19</v>
      </c>
      <c r="I407" s="2" t="s">
        <v>237</v>
      </c>
      <c r="J407">
        <v>0</v>
      </c>
      <c r="K407">
        <v>0</v>
      </c>
      <c r="L407">
        <v>0</v>
      </c>
      <c r="M407">
        <v>0</v>
      </c>
      <c r="N407" s="5">
        <v>0</v>
      </c>
      <c r="O407">
        <v>0</v>
      </c>
    </row>
    <row r="408" spans="1:15" hidden="1" x14ac:dyDescent="0.25">
      <c r="A408" s="2" t="s">
        <v>2781</v>
      </c>
      <c r="B408" s="3">
        <v>44416</v>
      </c>
      <c r="C408" s="2" t="s">
        <v>2782</v>
      </c>
      <c r="D408" t="s">
        <v>6141</v>
      </c>
      <c r="E408" s="2">
        <v>5</v>
      </c>
      <c r="F408" s="2" t="s">
        <v>2783</v>
      </c>
      <c r="G408" s="4" t="s">
        <v>2784</v>
      </c>
      <c r="H408" s="2" t="s">
        <v>19</v>
      </c>
      <c r="I408" s="2" t="s">
        <v>88</v>
      </c>
      <c r="J408">
        <v>0</v>
      </c>
      <c r="K408">
        <v>0</v>
      </c>
      <c r="L408">
        <v>0</v>
      </c>
      <c r="M408">
        <v>0</v>
      </c>
      <c r="N408" s="5">
        <v>0</v>
      </c>
      <c r="O408">
        <v>0</v>
      </c>
    </row>
    <row r="409" spans="1:15" hidden="1" x14ac:dyDescent="0.25">
      <c r="A409" s="2" t="s">
        <v>2787</v>
      </c>
      <c r="B409" s="3">
        <v>44595</v>
      </c>
      <c r="C409" s="2" t="s">
        <v>2788</v>
      </c>
      <c r="D409" t="s">
        <v>6139</v>
      </c>
      <c r="E409" s="2">
        <v>6</v>
      </c>
      <c r="F409" s="2" t="s">
        <v>2789</v>
      </c>
      <c r="G409" s="4">
        <v>0</v>
      </c>
      <c r="H409" s="2" t="s">
        <v>318</v>
      </c>
      <c r="I409" s="2" t="s">
        <v>373</v>
      </c>
      <c r="J409">
        <v>0</v>
      </c>
      <c r="K409">
        <v>0</v>
      </c>
      <c r="L409">
        <v>0</v>
      </c>
      <c r="M409">
        <v>0</v>
      </c>
      <c r="N409" s="5">
        <v>0</v>
      </c>
      <c r="O409">
        <v>0</v>
      </c>
    </row>
    <row r="410" spans="1:15" hidden="1" x14ac:dyDescent="0.25">
      <c r="A410" s="2" t="s">
        <v>2792</v>
      </c>
      <c r="B410" s="3">
        <v>44659</v>
      </c>
      <c r="C410" s="2" t="s">
        <v>2793</v>
      </c>
      <c r="D410" t="s">
        <v>6175</v>
      </c>
      <c r="E410" s="2">
        <v>2</v>
      </c>
      <c r="F410" s="2" t="s">
        <v>2794</v>
      </c>
      <c r="G410" s="4" t="s">
        <v>2795</v>
      </c>
      <c r="H410" s="2" t="s">
        <v>19</v>
      </c>
      <c r="I410" s="2" t="s">
        <v>304</v>
      </c>
      <c r="J410">
        <v>0</v>
      </c>
      <c r="K410">
        <v>0</v>
      </c>
      <c r="L410">
        <v>0</v>
      </c>
      <c r="M410">
        <v>0</v>
      </c>
      <c r="N410" s="5">
        <v>0</v>
      </c>
      <c r="O410">
        <v>0</v>
      </c>
    </row>
    <row r="411" spans="1:15" hidden="1" x14ac:dyDescent="0.25">
      <c r="A411" s="2" t="s">
        <v>2798</v>
      </c>
      <c r="B411" s="3">
        <v>44203</v>
      </c>
      <c r="C411" s="2" t="s">
        <v>2799</v>
      </c>
      <c r="D411" t="s">
        <v>6170</v>
      </c>
      <c r="E411" s="2">
        <v>3</v>
      </c>
      <c r="F411" s="2" t="s">
        <v>2800</v>
      </c>
      <c r="G411" s="4">
        <v>0</v>
      </c>
      <c r="H411" s="2" t="s">
        <v>318</v>
      </c>
      <c r="I411" s="2" t="s">
        <v>486</v>
      </c>
      <c r="J411">
        <v>0</v>
      </c>
      <c r="K411">
        <v>0</v>
      </c>
      <c r="L411">
        <v>0</v>
      </c>
      <c r="M411">
        <v>0</v>
      </c>
      <c r="N411" s="5">
        <v>0</v>
      </c>
      <c r="O411">
        <v>0</v>
      </c>
    </row>
    <row r="412" spans="1:15" hidden="1" x14ac:dyDescent="0.25">
      <c r="A412" s="2" t="s">
        <v>2803</v>
      </c>
      <c r="B412" s="3">
        <v>44441</v>
      </c>
      <c r="C412" s="2" t="s">
        <v>2804</v>
      </c>
      <c r="D412" t="s">
        <v>6167</v>
      </c>
      <c r="E412" s="2">
        <v>4</v>
      </c>
      <c r="F412" s="2" t="s">
        <v>2805</v>
      </c>
      <c r="G412" s="4">
        <v>0</v>
      </c>
      <c r="H412" s="2" t="s">
        <v>19</v>
      </c>
      <c r="I412" s="2" t="s">
        <v>150</v>
      </c>
      <c r="J412">
        <v>0</v>
      </c>
      <c r="K412">
        <v>0</v>
      </c>
      <c r="L412">
        <v>0</v>
      </c>
      <c r="M412">
        <v>0</v>
      </c>
      <c r="N412" s="5">
        <v>0</v>
      </c>
      <c r="O412">
        <v>0</v>
      </c>
    </row>
    <row r="413" spans="1:15" hidden="1" x14ac:dyDescent="0.25">
      <c r="A413" s="2" t="s">
        <v>2808</v>
      </c>
      <c r="B413" s="3">
        <v>44504</v>
      </c>
      <c r="C413" s="2" t="s">
        <v>2809</v>
      </c>
      <c r="D413" t="s">
        <v>6162</v>
      </c>
      <c r="E413" s="2">
        <v>6</v>
      </c>
      <c r="F413" s="2" t="s">
        <v>2810</v>
      </c>
      <c r="G413" s="4">
        <v>0</v>
      </c>
      <c r="H413" s="2" t="s">
        <v>19</v>
      </c>
      <c r="I413" s="2" t="s">
        <v>292</v>
      </c>
      <c r="J413">
        <v>0</v>
      </c>
      <c r="K413">
        <v>0</v>
      </c>
      <c r="L413">
        <v>0</v>
      </c>
      <c r="M413">
        <v>0</v>
      </c>
      <c r="N413" s="5">
        <v>0</v>
      </c>
      <c r="O413">
        <v>0</v>
      </c>
    </row>
    <row r="414" spans="1:15" hidden="1" x14ac:dyDescent="0.25">
      <c r="A414" s="2" t="s">
        <v>2813</v>
      </c>
      <c r="B414" s="3">
        <v>44410</v>
      </c>
      <c r="C414" s="2" t="s">
        <v>2814</v>
      </c>
      <c r="D414" t="s">
        <v>6155</v>
      </c>
      <c r="E414" s="2">
        <v>5</v>
      </c>
      <c r="F414" s="2" t="s">
        <v>2815</v>
      </c>
      <c r="G414" s="4">
        <v>0</v>
      </c>
      <c r="H414" s="2" t="s">
        <v>19</v>
      </c>
      <c r="I414" s="2" t="s">
        <v>58</v>
      </c>
      <c r="J414">
        <v>0</v>
      </c>
      <c r="K414">
        <v>0</v>
      </c>
      <c r="L414">
        <v>0</v>
      </c>
      <c r="M414">
        <v>0</v>
      </c>
      <c r="N414" s="5">
        <v>0</v>
      </c>
      <c r="O414">
        <v>0</v>
      </c>
    </row>
    <row r="415" spans="1:15" hidden="1" x14ac:dyDescent="0.25">
      <c r="A415" s="2" t="s">
        <v>2818</v>
      </c>
      <c r="B415" s="3">
        <v>43857</v>
      </c>
      <c r="C415" s="2" t="s">
        <v>2819</v>
      </c>
      <c r="D415" t="s">
        <v>6164</v>
      </c>
      <c r="E415" s="2">
        <v>1</v>
      </c>
      <c r="F415" s="2" t="s">
        <v>2820</v>
      </c>
      <c r="G415" s="4" t="s">
        <v>2821</v>
      </c>
      <c r="H415" s="2" t="s">
        <v>19</v>
      </c>
      <c r="I415" s="2" t="s">
        <v>109</v>
      </c>
      <c r="J415">
        <v>0</v>
      </c>
      <c r="K415">
        <v>0</v>
      </c>
      <c r="L415">
        <v>0</v>
      </c>
      <c r="M415">
        <v>0</v>
      </c>
      <c r="N415" s="5">
        <v>0</v>
      </c>
      <c r="O415">
        <v>0</v>
      </c>
    </row>
    <row r="416" spans="1:15" hidden="1" x14ac:dyDescent="0.25">
      <c r="A416" s="2" t="s">
        <v>2824</v>
      </c>
      <c r="B416" s="3">
        <v>43802</v>
      </c>
      <c r="C416" s="2" t="s">
        <v>2825</v>
      </c>
      <c r="D416" t="s">
        <v>6178</v>
      </c>
      <c r="E416" s="2">
        <v>3</v>
      </c>
      <c r="F416" s="2" t="s">
        <v>2826</v>
      </c>
      <c r="G416" s="4">
        <v>0</v>
      </c>
      <c r="H416" s="2" t="s">
        <v>19</v>
      </c>
      <c r="I416" s="2" t="s">
        <v>185</v>
      </c>
      <c r="J416">
        <v>0</v>
      </c>
      <c r="K416">
        <v>0</v>
      </c>
      <c r="L416">
        <v>0</v>
      </c>
      <c r="M416">
        <v>0</v>
      </c>
      <c r="N416" s="5">
        <v>0</v>
      </c>
      <c r="O416">
        <v>0</v>
      </c>
    </row>
    <row r="417" spans="1:15" hidden="1" x14ac:dyDescent="0.25">
      <c r="A417" s="2" t="s">
        <v>2829</v>
      </c>
      <c r="B417" s="3">
        <v>43683</v>
      </c>
      <c r="C417" s="2" t="s">
        <v>2830</v>
      </c>
      <c r="D417" t="s">
        <v>6174</v>
      </c>
      <c r="E417" s="2">
        <v>3</v>
      </c>
      <c r="F417" s="2" t="s">
        <v>2831</v>
      </c>
      <c r="G417" s="4" t="s">
        <v>2832</v>
      </c>
      <c r="H417" s="2" t="s">
        <v>19</v>
      </c>
      <c r="I417" s="2" t="s">
        <v>292</v>
      </c>
      <c r="J417">
        <v>0</v>
      </c>
      <c r="K417">
        <v>0</v>
      </c>
      <c r="L417">
        <v>0</v>
      </c>
      <c r="M417">
        <v>0</v>
      </c>
      <c r="N417" s="5">
        <v>0</v>
      </c>
      <c r="O417">
        <v>0</v>
      </c>
    </row>
    <row r="418" spans="1:15" hidden="1" x14ac:dyDescent="0.25">
      <c r="A418" s="2" t="s">
        <v>2834</v>
      </c>
      <c r="B418" s="3">
        <v>43901</v>
      </c>
      <c r="C418" s="2" t="s">
        <v>2835</v>
      </c>
      <c r="D418" t="s">
        <v>6180</v>
      </c>
      <c r="E418" s="2">
        <v>3</v>
      </c>
      <c r="F418" s="2" t="s">
        <v>2836</v>
      </c>
      <c r="G418" s="4">
        <v>0</v>
      </c>
      <c r="H418" s="2" t="s">
        <v>19</v>
      </c>
      <c r="I418" s="2" t="s">
        <v>203</v>
      </c>
      <c r="J418">
        <v>0</v>
      </c>
      <c r="K418">
        <v>0</v>
      </c>
      <c r="L418">
        <v>0</v>
      </c>
      <c r="M418">
        <v>0</v>
      </c>
      <c r="N418" s="5">
        <v>0</v>
      </c>
      <c r="O418">
        <v>0</v>
      </c>
    </row>
    <row r="419" spans="1:15" hidden="1" x14ac:dyDescent="0.25">
      <c r="A419" s="2" t="s">
        <v>2839</v>
      </c>
      <c r="B419" s="3">
        <v>44457</v>
      </c>
      <c r="C419" s="2" t="s">
        <v>2840</v>
      </c>
      <c r="D419" t="s">
        <v>6182</v>
      </c>
      <c r="E419" s="2">
        <v>1</v>
      </c>
      <c r="F419" s="2" t="s">
        <v>2841</v>
      </c>
      <c r="G419" s="4">
        <v>0</v>
      </c>
      <c r="H419" s="2" t="s">
        <v>19</v>
      </c>
      <c r="I419" s="2" t="s">
        <v>184</v>
      </c>
      <c r="J419">
        <v>0</v>
      </c>
      <c r="K419">
        <v>0</v>
      </c>
      <c r="L419">
        <v>0</v>
      </c>
      <c r="M419">
        <v>0</v>
      </c>
      <c r="N419" s="5">
        <v>0</v>
      </c>
      <c r="O419">
        <v>0</v>
      </c>
    </row>
    <row r="420" spans="1:15" hidden="1" x14ac:dyDescent="0.25">
      <c r="A420" s="2" t="s">
        <v>2844</v>
      </c>
      <c r="B420" s="3">
        <v>44142</v>
      </c>
      <c r="C420" s="2" t="s">
        <v>2845</v>
      </c>
      <c r="D420" t="s">
        <v>6182</v>
      </c>
      <c r="E420" s="2">
        <v>5</v>
      </c>
      <c r="F420" s="2" t="s">
        <v>2846</v>
      </c>
      <c r="G420" s="4" t="s">
        <v>2847</v>
      </c>
      <c r="H420" s="2" t="s">
        <v>19</v>
      </c>
      <c r="I420" s="2" t="s">
        <v>131</v>
      </c>
      <c r="J420">
        <v>0</v>
      </c>
      <c r="K420">
        <v>0</v>
      </c>
      <c r="L420">
        <v>0</v>
      </c>
      <c r="M420">
        <v>0</v>
      </c>
      <c r="N420" s="5">
        <v>0</v>
      </c>
      <c r="O420">
        <v>0</v>
      </c>
    </row>
    <row r="421" spans="1:15" hidden="1" x14ac:dyDescent="0.25">
      <c r="A421" s="2" t="s">
        <v>2849</v>
      </c>
      <c r="B421" s="3">
        <v>44739</v>
      </c>
      <c r="C421" s="2" t="s">
        <v>2850</v>
      </c>
      <c r="D421" t="s">
        <v>6160</v>
      </c>
      <c r="E421" s="2">
        <v>1</v>
      </c>
      <c r="F421" s="2" t="s">
        <v>2851</v>
      </c>
      <c r="G421" s="4" t="s">
        <v>2852</v>
      </c>
      <c r="H421" s="2" t="s">
        <v>19</v>
      </c>
      <c r="I421" s="2" t="s">
        <v>236</v>
      </c>
      <c r="J421">
        <v>0</v>
      </c>
      <c r="K421">
        <v>0</v>
      </c>
      <c r="L421">
        <v>0</v>
      </c>
      <c r="M421">
        <v>0</v>
      </c>
      <c r="N421" s="5">
        <v>0</v>
      </c>
      <c r="O421">
        <v>0</v>
      </c>
    </row>
    <row r="422" spans="1:15" hidden="1" x14ac:dyDescent="0.25">
      <c r="A422" s="2" t="s">
        <v>2855</v>
      </c>
      <c r="B422" s="3">
        <v>43866</v>
      </c>
      <c r="C422" s="2" t="s">
        <v>2586</v>
      </c>
      <c r="D422" t="s">
        <v>6169</v>
      </c>
      <c r="E422" s="2">
        <v>4</v>
      </c>
      <c r="F422" s="2" t="s">
        <v>2857</v>
      </c>
      <c r="G422" s="4" t="s">
        <v>2858</v>
      </c>
      <c r="H422" s="2" t="s">
        <v>19</v>
      </c>
      <c r="I422" s="2" t="s">
        <v>172</v>
      </c>
      <c r="J422">
        <v>0</v>
      </c>
      <c r="K422">
        <v>0</v>
      </c>
      <c r="L422">
        <v>0</v>
      </c>
      <c r="M422">
        <v>0</v>
      </c>
      <c r="N422" s="5">
        <v>0</v>
      </c>
      <c r="O422">
        <v>0</v>
      </c>
    </row>
    <row r="423" spans="1:15" hidden="1" x14ac:dyDescent="0.25">
      <c r="A423" s="2" t="s">
        <v>2855</v>
      </c>
      <c r="B423" s="3">
        <v>43866</v>
      </c>
      <c r="C423" s="2" t="s">
        <v>2586</v>
      </c>
      <c r="D423" t="s">
        <v>6168</v>
      </c>
      <c r="E423" s="2">
        <v>6</v>
      </c>
      <c r="F423" s="2" t="s">
        <v>2862</v>
      </c>
      <c r="G423" s="4" t="s">
        <v>2863</v>
      </c>
      <c r="H423" s="2" t="s">
        <v>19</v>
      </c>
      <c r="I423" s="2" t="s">
        <v>69</v>
      </c>
      <c r="J423">
        <v>0</v>
      </c>
      <c r="K423">
        <v>0</v>
      </c>
      <c r="L423">
        <v>0</v>
      </c>
      <c r="M423">
        <v>0</v>
      </c>
      <c r="N423" s="5">
        <v>0</v>
      </c>
      <c r="O423">
        <v>0</v>
      </c>
    </row>
    <row r="424" spans="1:15" hidden="1" x14ac:dyDescent="0.25">
      <c r="A424" s="2" t="s">
        <v>2866</v>
      </c>
      <c r="B424" s="3">
        <v>43868</v>
      </c>
      <c r="C424" s="2" t="s">
        <v>2867</v>
      </c>
      <c r="D424" t="s">
        <v>6158</v>
      </c>
      <c r="E424" s="2">
        <v>5</v>
      </c>
      <c r="F424" s="2" t="s">
        <v>2868</v>
      </c>
      <c r="G424" s="4">
        <v>0</v>
      </c>
      <c r="H424" s="2" t="s">
        <v>19</v>
      </c>
      <c r="I424" s="2" t="s">
        <v>231</v>
      </c>
      <c r="J424">
        <v>0</v>
      </c>
      <c r="K424">
        <v>0</v>
      </c>
      <c r="L424">
        <v>0</v>
      </c>
      <c r="M424">
        <v>0</v>
      </c>
      <c r="N424" s="5">
        <v>0</v>
      </c>
      <c r="O424">
        <v>0</v>
      </c>
    </row>
    <row r="425" spans="1:15" hidden="1" x14ac:dyDescent="0.25">
      <c r="A425" s="2" t="s">
        <v>2871</v>
      </c>
      <c r="B425" s="3">
        <v>44183</v>
      </c>
      <c r="C425" s="2" t="s">
        <v>2872</v>
      </c>
      <c r="D425" t="s">
        <v>6146</v>
      </c>
      <c r="E425" s="2">
        <v>3</v>
      </c>
      <c r="F425" s="2" t="s">
        <v>2873</v>
      </c>
      <c r="G425" s="4">
        <v>0</v>
      </c>
      <c r="H425" s="2" t="s">
        <v>19</v>
      </c>
      <c r="I425" s="2" t="s">
        <v>48</v>
      </c>
      <c r="J425">
        <v>0</v>
      </c>
      <c r="K425">
        <v>0</v>
      </c>
      <c r="L425">
        <v>0</v>
      </c>
      <c r="M425">
        <v>0</v>
      </c>
      <c r="N425" s="5">
        <v>0</v>
      </c>
      <c r="O425">
        <v>0</v>
      </c>
    </row>
    <row r="426" spans="1:15" hidden="1" x14ac:dyDescent="0.25">
      <c r="A426" s="2" t="s">
        <v>2876</v>
      </c>
      <c r="B426" s="3">
        <v>44431</v>
      </c>
      <c r="C426" s="2" t="s">
        <v>2877</v>
      </c>
      <c r="D426" t="s">
        <v>6176</v>
      </c>
      <c r="E426" s="2">
        <v>3</v>
      </c>
      <c r="F426" s="2" t="s">
        <v>2878</v>
      </c>
      <c r="G426" s="4" t="s">
        <v>2879</v>
      </c>
      <c r="H426" s="2" t="s">
        <v>19</v>
      </c>
      <c r="I426" s="2" t="s">
        <v>88</v>
      </c>
      <c r="J426">
        <v>0</v>
      </c>
      <c r="K426">
        <v>0</v>
      </c>
      <c r="L426">
        <v>0</v>
      </c>
      <c r="M426">
        <v>0</v>
      </c>
      <c r="N426" s="5">
        <v>0</v>
      </c>
      <c r="O426">
        <v>0</v>
      </c>
    </row>
    <row r="427" spans="1:15" hidden="1" x14ac:dyDescent="0.25">
      <c r="A427" s="2" t="s">
        <v>2882</v>
      </c>
      <c r="B427" s="3">
        <v>44428</v>
      </c>
      <c r="C427" s="2" t="s">
        <v>2883</v>
      </c>
      <c r="D427" t="s">
        <v>6177</v>
      </c>
      <c r="E427" s="2">
        <v>2</v>
      </c>
      <c r="F427" s="2" t="s">
        <v>2884</v>
      </c>
      <c r="G427" s="4" t="s">
        <v>2885</v>
      </c>
      <c r="H427" s="2" t="s">
        <v>19</v>
      </c>
      <c r="I427" s="2" t="s">
        <v>72</v>
      </c>
      <c r="J427">
        <v>0</v>
      </c>
      <c r="K427">
        <v>0</v>
      </c>
      <c r="L427">
        <v>0</v>
      </c>
      <c r="M427">
        <v>0</v>
      </c>
      <c r="N427" s="5">
        <v>0</v>
      </c>
      <c r="O427">
        <v>0</v>
      </c>
    </row>
    <row r="428" spans="1:15" hidden="1" x14ac:dyDescent="0.25">
      <c r="A428" s="2" t="s">
        <v>2888</v>
      </c>
      <c r="B428" s="3">
        <v>43556</v>
      </c>
      <c r="C428" s="2" t="s">
        <v>2889</v>
      </c>
      <c r="D428" t="s">
        <v>6178</v>
      </c>
      <c r="E428" s="2">
        <v>4</v>
      </c>
      <c r="F428" s="2" t="s">
        <v>2890</v>
      </c>
      <c r="G428" s="4" t="s">
        <v>2891</v>
      </c>
      <c r="H428" s="2" t="s">
        <v>318</v>
      </c>
      <c r="I428" s="2" t="s">
        <v>380</v>
      </c>
      <c r="J428">
        <v>0</v>
      </c>
      <c r="K428">
        <v>0</v>
      </c>
      <c r="L428">
        <v>0</v>
      </c>
      <c r="M428">
        <v>0</v>
      </c>
      <c r="N428" s="5">
        <v>0</v>
      </c>
      <c r="O428">
        <v>0</v>
      </c>
    </row>
    <row r="429" spans="1:15" hidden="1" x14ac:dyDescent="0.25">
      <c r="A429" s="2" t="s">
        <v>2894</v>
      </c>
      <c r="B429" s="3">
        <v>44224</v>
      </c>
      <c r="C429" s="2" t="s">
        <v>2895</v>
      </c>
      <c r="D429" t="s">
        <v>6175</v>
      </c>
      <c r="E429" s="2">
        <v>3</v>
      </c>
      <c r="F429" s="2" t="s">
        <v>2896</v>
      </c>
      <c r="G429" s="4">
        <v>0</v>
      </c>
      <c r="H429" s="2" t="s">
        <v>19</v>
      </c>
      <c r="I429" s="2" t="s">
        <v>150</v>
      </c>
      <c r="J429">
        <v>0</v>
      </c>
      <c r="K429">
        <v>0</v>
      </c>
      <c r="L429">
        <v>0</v>
      </c>
      <c r="M429">
        <v>0</v>
      </c>
      <c r="N429" s="5">
        <v>0</v>
      </c>
      <c r="O429">
        <v>0</v>
      </c>
    </row>
    <row r="430" spans="1:15" hidden="1" x14ac:dyDescent="0.25">
      <c r="A430" s="2" t="s">
        <v>2899</v>
      </c>
      <c r="B430" s="3">
        <v>43759</v>
      </c>
      <c r="C430" s="2" t="s">
        <v>2900</v>
      </c>
      <c r="D430" t="s">
        <v>6179</v>
      </c>
      <c r="E430" s="2">
        <v>5</v>
      </c>
      <c r="F430" s="2" t="s">
        <v>2901</v>
      </c>
      <c r="G430" s="4" t="s">
        <v>2902</v>
      </c>
      <c r="H430" s="2" t="s">
        <v>19</v>
      </c>
      <c r="I430" s="2" t="s">
        <v>181</v>
      </c>
      <c r="J430">
        <v>0</v>
      </c>
      <c r="K430">
        <v>0</v>
      </c>
      <c r="L430">
        <v>0</v>
      </c>
      <c r="M430">
        <v>0</v>
      </c>
      <c r="N430" s="5">
        <v>0</v>
      </c>
      <c r="O430">
        <v>0</v>
      </c>
    </row>
    <row r="431" spans="1:15" hidden="1" x14ac:dyDescent="0.25">
      <c r="A431" s="2" t="s">
        <v>2905</v>
      </c>
      <c r="B431" s="3">
        <v>44367</v>
      </c>
      <c r="C431" s="2" t="s">
        <v>2586</v>
      </c>
      <c r="D431" t="s">
        <v>6140</v>
      </c>
      <c r="E431" s="2">
        <v>6</v>
      </c>
      <c r="F431" s="2" t="s">
        <v>2907</v>
      </c>
      <c r="G431" s="4" t="s">
        <v>2908</v>
      </c>
      <c r="H431" s="2" t="s">
        <v>19</v>
      </c>
      <c r="I431" s="2" t="s">
        <v>233</v>
      </c>
      <c r="J431">
        <v>0</v>
      </c>
      <c r="K431">
        <v>0</v>
      </c>
      <c r="L431">
        <v>0</v>
      </c>
      <c r="M431">
        <v>0</v>
      </c>
      <c r="N431" s="5">
        <v>0</v>
      </c>
      <c r="O431">
        <v>0</v>
      </c>
    </row>
    <row r="432" spans="1:15" hidden="1" x14ac:dyDescent="0.25">
      <c r="A432" s="2" t="s">
        <v>2911</v>
      </c>
      <c r="B432" s="3">
        <v>44504</v>
      </c>
      <c r="C432" s="2" t="s">
        <v>2912</v>
      </c>
      <c r="D432" t="s">
        <v>6163</v>
      </c>
      <c r="E432" s="2">
        <v>2</v>
      </c>
      <c r="F432" s="2" t="s">
        <v>2913</v>
      </c>
      <c r="G432" s="4" t="s">
        <v>2914</v>
      </c>
      <c r="H432" s="2" t="s">
        <v>19</v>
      </c>
      <c r="I432" s="2" t="s">
        <v>93</v>
      </c>
      <c r="J432">
        <v>0</v>
      </c>
      <c r="K432">
        <v>0</v>
      </c>
      <c r="L432">
        <v>0</v>
      </c>
      <c r="M432">
        <v>0</v>
      </c>
      <c r="N432" s="5">
        <v>0</v>
      </c>
      <c r="O432">
        <v>0</v>
      </c>
    </row>
    <row r="433" spans="1:15" hidden="1" x14ac:dyDescent="0.25">
      <c r="A433" s="2" t="s">
        <v>2917</v>
      </c>
      <c r="B433" s="3">
        <v>44291</v>
      </c>
      <c r="C433" s="2" t="s">
        <v>2918</v>
      </c>
      <c r="D433" t="s">
        <v>6185</v>
      </c>
      <c r="E433" s="2">
        <v>3</v>
      </c>
      <c r="F433" s="2" t="s">
        <v>2919</v>
      </c>
      <c r="G433" s="4" t="s">
        <v>2920</v>
      </c>
      <c r="H433" s="2" t="s">
        <v>318</v>
      </c>
      <c r="I433" s="2" t="s">
        <v>337</v>
      </c>
      <c r="J433">
        <v>0</v>
      </c>
      <c r="K433">
        <v>0</v>
      </c>
      <c r="L433">
        <v>0</v>
      </c>
      <c r="M433">
        <v>0</v>
      </c>
      <c r="N433" s="5">
        <v>0</v>
      </c>
      <c r="O433">
        <v>0</v>
      </c>
    </row>
    <row r="434" spans="1:15" hidden="1" x14ac:dyDescent="0.25">
      <c r="A434" s="2" t="s">
        <v>2923</v>
      </c>
      <c r="B434" s="3">
        <v>43808</v>
      </c>
      <c r="C434" s="2" t="s">
        <v>2924</v>
      </c>
      <c r="D434" t="s">
        <v>6155</v>
      </c>
      <c r="E434" s="2">
        <v>2</v>
      </c>
      <c r="F434" s="2" t="s">
        <v>2925</v>
      </c>
      <c r="G434" s="4">
        <v>0</v>
      </c>
      <c r="H434" s="2" t="s">
        <v>19</v>
      </c>
      <c r="I434" s="2" t="s">
        <v>45</v>
      </c>
      <c r="J434">
        <v>0</v>
      </c>
      <c r="K434">
        <v>0</v>
      </c>
      <c r="L434">
        <v>0</v>
      </c>
      <c r="M434">
        <v>0</v>
      </c>
      <c r="N434" s="5">
        <v>0</v>
      </c>
      <c r="O434">
        <v>0</v>
      </c>
    </row>
    <row r="435" spans="1:15" hidden="1" x14ac:dyDescent="0.25">
      <c r="A435" s="2" t="s">
        <v>2928</v>
      </c>
      <c r="B435" s="3">
        <v>44563</v>
      </c>
      <c r="C435" s="2" t="s">
        <v>2929</v>
      </c>
      <c r="D435" t="s">
        <v>6181</v>
      </c>
      <c r="E435" s="2">
        <v>6</v>
      </c>
      <c r="F435" s="2" t="s">
        <v>2930</v>
      </c>
      <c r="G435" s="4" t="s">
        <v>2931</v>
      </c>
      <c r="H435" s="2" t="s">
        <v>19</v>
      </c>
      <c r="I435" s="2" t="s">
        <v>131</v>
      </c>
      <c r="J435">
        <v>0</v>
      </c>
      <c r="K435">
        <v>0</v>
      </c>
      <c r="L435">
        <v>0</v>
      </c>
      <c r="M435">
        <v>0</v>
      </c>
      <c r="N435" s="5">
        <v>0</v>
      </c>
      <c r="O435">
        <v>0</v>
      </c>
    </row>
    <row r="436" spans="1:15" hidden="1" x14ac:dyDescent="0.25">
      <c r="A436" s="2" t="s">
        <v>2934</v>
      </c>
      <c r="B436" s="3">
        <v>43807</v>
      </c>
      <c r="C436" s="2" t="s">
        <v>2935</v>
      </c>
      <c r="D436" t="s">
        <v>6155</v>
      </c>
      <c r="E436" s="2">
        <v>6</v>
      </c>
      <c r="F436" s="2" t="s">
        <v>2936</v>
      </c>
      <c r="G436" s="4">
        <v>0</v>
      </c>
      <c r="H436" s="2" t="s">
        <v>19</v>
      </c>
      <c r="I436" s="2" t="s">
        <v>241</v>
      </c>
      <c r="J436">
        <v>0</v>
      </c>
      <c r="K436">
        <v>0</v>
      </c>
      <c r="L436">
        <v>0</v>
      </c>
      <c r="M436">
        <v>0</v>
      </c>
      <c r="N436" s="5">
        <v>0</v>
      </c>
      <c r="O436">
        <v>0</v>
      </c>
    </row>
    <row r="437" spans="1:15" hidden="1" x14ac:dyDescent="0.25">
      <c r="A437" s="2" t="s">
        <v>2939</v>
      </c>
      <c r="B437" s="3">
        <v>44528</v>
      </c>
      <c r="C437" s="2" t="s">
        <v>2940</v>
      </c>
      <c r="D437" t="s">
        <v>6139</v>
      </c>
      <c r="E437" s="2">
        <v>1</v>
      </c>
      <c r="F437" s="2" t="s">
        <v>2941</v>
      </c>
      <c r="G437" s="4" t="s">
        <v>2942</v>
      </c>
      <c r="H437" s="2" t="s">
        <v>19</v>
      </c>
      <c r="I437" s="2" t="s">
        <v>148</v>
      </c>
      <c r="J437">
        <v>0</v>
      </c>
      <c r="K437">
        <v>0</v>
      </c>
      <c r="L437">
        <v>0</v>
      </c>
      <c r="M437">
        <v>0</v>
      </c>
      <c r="N437" s="5">
        <v>0</v>
      </c>
      <c r="O437">
        <v>0</v>
      </c>
    </row>
    <row r="438" spans="1:15" hidden="1" x14ac:dyDescent="0.25">
      <c r="A438" s="2" t="s">
        <v>2945</v>
      </c>
      <c r="B438" s="3">
        <v>44631</v>
      </c>
      <c r="C438" s="2" t="s">
        <v>2946</v>
      </c>
      <c r="D438" t="s">
        <v>6145</v>
      </c>
      <c r="E438" s="2">
        <v>2</v>
      </c>
      <c r="F438" s="2" t="s">
        <v>2947</v>
      </c>
      <c r="G438" s="4" t="s">
        <v>2948</v>
      </c>
      <c r="H438" s="2" t="s">
        <v>19</v>
      </c>
      <c r="I438" s="2" t="s">
        <v>97</v>
      </c>
      <c r="J438">
        <v>0</v>
      </c>
      <c r="K438">
        <v>0</v>
      </c>
      <c r="L438">
        <v>0</v>
      </c>
      <c r="M438">
        <v>0</v>
      </c>
      <c r="N438" s="5">
        <v>0</v>
      </c>
      <c r="O438">
        <v>0</v>
      </c>
    </row>
    <row r="439" spans="1:15" hidden="1" x14ac:dyDescent="0.25">
      <c r="A439" s="2" t="s">
        <v>2951</v>
      </c>
      <c r="B439" s="3">
        <v>44213</v>
      </c>
      <c r="C439" s="2" t="s">
        <v>2952</v>
      </c>
      <c r="D439" t="s">
        <v>6165</v>
      </c>
      <c r="E439" s="2">
        <v>1</v>
      </c>
      <c r="F439" s="2" t="s">
        <v>2953</v>
      </c>
      <c r="G439" s="4">
        <v>0</v>
      </c>
      <c r="H439" s="2" t="s">
        <v>19</v>
      </c>
      <c r="I439" s="2" t="s">
        <v>63</v>
      </c>
      <c r="J439">
        <v>0</v>
      </c>
      <c r="K439">
        <v>0</v>
      </c>
      <c r="L439">
        <v>0</v>
      </c>
      <c r="M439">
        <v>0</v>
      </c>
      <c r="N439" s="5">
        <v>0</v>
      </c>
      <c r="O439">
        <v>0</v>
      </c>
    </row>
    <row r="440" spans="1:15" hidden="1" x14ac:dyDescent="0.25">
      <c r="A440" s="2" t="s">
        <v>2956</v>
      </c>
      <c r="B440" s="3">
        <v>43483</v>
      </c>
      <c r="C440" s="2" t="s">
        <v>3042</v>
      </c>
      <c r="D440" t="s">
        <v>6169</v>
      </c>
      <c r="E440" s="2">
        <v>2</v>
      </c>
      <c r="F440" s="2" t="s">
        <v>2958</v>
      </c>
      <c r="G440" s="4" t="s">
        <v>2959</v>
      </c>
      <c r="H440" s="2" t="s">
        <v>19</v>
      </c>
      <c r="I440" s="2" t="s">
        <v>77</v>
      </c>
      <c r="J440">
        <v>0</v>
      </c>
      <c r="K440">
        <v>0</v>
      </c>
      <c r="L440">
        <v>0</v>
      </c>
      <c r="M440">
        <v>0</v>
      </c>
      <c r="N440" s="5">
        <v>0</v>
      </c>
      <c r="O440">
        <v>0</v>
      </c>
    </row>
    <row r="441" spans="1:15" hidden="1" x14ac:dyDescent="0.25">
      <c r="A441" s="2" t="s">
        <v>2962</v>
      </c>
      <c r="B441" s="3">
        <v>43562</v>
      </c>
      <c r="C441" s="2" t="s">
        <v>2963</v>
      </c>
      <c r="D441" t="s">
        <v>6176</v>
      </c>
      <c r="E441" s="2">
        <v>4</v>
      </c>
      <c r="F441" s="2" t="s">
        <v>2964</v>
      </c>
      <c r="G441" s="4" t="s">
        <v>2965</v>
      </c>
      <c r="H441" s="2" t="s">
        <v>318</v>
      </c>
      <c r="I441" s="2" t="s">
        <v>474</v>
      </c>
      <c r="J441">
        <v>0</v>
      </c>
      <c r="K441">
        <v>0</v>
      </c>
      <c r="L441">
        <v>0</v>
      </c>
      <c r="M441">
        <v>0</v>
      </c>
      <c r="N441" s="5">
        <v>0</v>
      </c>
      <c r="O441">
        <v>0</v>
      </c>
    </row>
    <row r="442" spans="1:15" hidden="1" x14ac:dyDescent="0.25">
      <c r="A442" s="2" t="s">
        <v>2968</v>
      </c>
      <c r="B442" s="3">
        <v>44230</v>
      </c>
      <c r="C442" s="2" t="s">
        <v>2969</v>
      </c>
      <c r="D442" t="s">
        <v>6175</v>
      </c>
      <c r="E442" s="2">
        <v>4</v>
      </c>
      <c r="F442" s="2" t="s">
        <v>2970</v>
      </c>
      <c r="G442" s="4" t="s">
        <v>2971</v>
      </c>
      <c r="H442" s="2" t="s">
        <v>19</v>
      </c>
      <c r="I442" s="2" t="s">
        <v>120</v>
      </c>
      <c r="J442">
        <v>0</v>
      </c>
      <c r="K442">
        <v>0</v>
      </c>
      <c r="L442">
        <v>0</v>
      </c>
      <c r="M442">
        <v>0</v>
      </c>
      <c r="N442" s="5">
        <v>0</v>
      </c>
      <c r="O442">
        <v>0</v>
      </c>
    </row>
    <row r="443" spans="1:15" hidden="1" x14ac:dyDescent="0.25">
      <c r="A443" s="2" t="s">
        <v>2974</v>
      </c>
      <c r="B443" s="3">
        <v>43573</v>
      </c>
      <c r="C443" s="2" t="s">
        <v>2975</v>
      </c>
      <c r="D443" t="s">
        <v>6183</v>
      </c>
      <c r="E443" s="2">
        <v>3</v>
      </c>
      <c r="F443" s="2" t="s">
        <v>2976</v>
      </c>
      <c r="G443" s="4" t="s">
        <v>2977</v>
      </c>
      <c r="H443" s="2" t="s">
        <v>318</v>
      </c>
      <c r="I443" s="2" t="s">
        <v>2031</v>
      </c>
      <c r="J443">
        <v>0</v>
      </c>
      <c r="K443">
        <v>0</v>
      </c>
      <c r="L443">
        <v>0</v>
      </c>
      <c r="M443">
        <v>0</v>
      </c>
      <c r="N443" s="5">
        <v>0</v>
      </c>
      <c r="O443">
        <v>0</v>
      </c>
    </row>
    <row r="444" spans="1:15" hidden="1" x14ac:dyDescent="0.25">
      <c r="A444" s="2" t="s">
        <v>2980</v>
      </c>
      <c r="B444" s="3">
        <v>44384</v>
      </c>
      <c r="C444" s="2" t="s">
        <v>2981</v>
      </c>
      <c r="D444" t="s">
        <v>6173</v>
      </c>
      <c r="E444" s="2">
        <v>5</v>
      </c>
      <c r="F444" s="2" t="s">
        <v>2982</v>
      </c>
      <c r="G444" s="4" t="s">
        <v>2983</v>
      </c>
      <c r="H444" s="2" t="s">
        <v>19</v>
      </c>
      <c r="I444" s="2" t="s">
        <v>294</v>
      </c>
      <c r="J444">
        <v>0</v>
      </c>
      <c r="K444">
        <v>0</v>
      </c>
      <c r="L444">
        <v>0</v>
      </c>
      <c r="M444">
        <v>0</v>
      </c>
      <c r="N444" s="5">
        <v>0</v>
      </c>
      <c r="O444">
        <v>0</v>
      </c>
    </row>
    <row r="445" spans="1:15" hidden="1" x14ac:dyDescent="0.25">
      <c r="A445" s="2" t="s">
        <v>2986</v>
      </c>
      <c r="B445" s="3">
        <v>44250</v>
      </c>
      <c r="C445" s="2" t="s">
        <v>2987</v>
      </c>
      <c r="D445" t="s">
        <v>6184</v>
      </c>
      <c r="E445" s="2">
        <v>5</v>
      </c>
      <c r="F445" s="2" t="s">
        <v>2988</v>
      </c>
      <c r="G445" s="4" t="s">
        <v>2989</v>
      </c>
      <c r="H445" s="2" t="s">
        <v>318</v>
      </c>
      <c r="I445" s="2" t="s">
        <v>465</v>
      </c>
      <c r="J445">
        <v>0</v>
      </c>
      <c r="K445">
        <v>0</v>
      </c>
      <c r="L445">
        <v>0</v>
      </c>
      <c r="M445">
        <v>0</v>
      </c>
      <c r="N445" s="5">
        <v>0</v>
      </c>
      <c r="O445">
        <v>0</v>
      </c>
    </row>
    <row r="446" spans="1:15" hidden="1" x14ac:dyDescent="0.25">
      <c r="A446" s="2" t="s">
        <v>2992</v>
      </c>
      <c r="B446" s="3">
        <v>44418</v>
      </c>
      <c r="C446" s="2" t="s">
        <v>2993</v>
      </c>
      <c r="D446" t="s">
        <v>6156</v>
      </c>
      <c r="E446" s="2">
        <v>6</v>
      </c>
      <c r="F446" s="2" t="s">
        <v>2994</v>
      </c>
      <c r="G446" s="4" t="s">
        <v>2995</v>
      </c>
      <c r="H446" s="2" t="s">
        <v>318</v>
      </c>
      <c r="I446" s="2" t="s">
        <v>2998</v>
      </c>
      <c r="J446">
        <v>0</v>
      </c>
      <c r="K446">
        <v>0</v>
      </c>
      <c r="L446">
        <v>0</v>
      </c>
      <c r="M446">
        <v>0</v>
      </c>
      <c r="N446" s="5">
        <v>0</v>
      </c>
      <c r="O446">
        <v>0</v>
      </c>
    </row>
    <row r="447" spans="1:15" hidden="1" x14ac:dyDescent="0.25">
      <c r="A447" s="2" t="s">
        <v>2999</v>
      </c>
      <c r="B447" s="3">
        <v>43784</v>
      </c>
      <c r="C447" s="2" t="s">
        <v>3000</v>
      </c>
      <c r="D447" t="s">
        <v>6181</v>
      </c>
      <c r="E447" s="2">
        <v>2</v>
      </c>
      <c r="F447" s="2" t="s">
        <v>3001</v>
      </c>
      <c r="G447" s="4" t="s">
        <v>3002</v>
      </c>
      <c r="H447" s="2" t="s">
        <v>318</v>
      </c>
      <c r="I447" s="2" t="s">
        <v>390</v>
      </c>
      <c r="J447">
        <v>0</v>
      </c>
      <c r="K447">
        <v>0</v>
      </c>
      <c r="L447">
        <v>0</v>
      </c>
      <c r="M447">
        <v>0</v>
      </c>
      <c r="N447" s="5">
        <v>0</v>
      </c>
      <c r="O447">
        <v>0</v>
      </c>
    </row>
    <row r="448" spans="1:15" hidden="1" x14ac:dyDescent="0.25">
      <c r="A448" s="2" t="s">
        <v>3004</v>
      </c>
      <c r="B448" s="3">
        <v>43816</v>
      </c>
      <c r="C448" s="2" t="s">
        <v>3005</v>
      </c>
      <c r="D448" t="s">
        <v>6160</v>
      </c>
      <c r="E448" s="2">
        <v>1</v>
      </c>
      <c r="F448" s="2" t="s">
        <v>3006</v>
      </c>
      <c r="G448" s="4" t="s">
        <v>3007</v>
      </c>
      <c r="H448" s="2" t="s">
        <v>28</v>
      </c>
      <c r="I448" s="2" t="s">
        <v>144</v>
      </c>
      <c r="J448">
        <v>0</v>
      </c>
      <c r="K448">
        <v>0</v>
      </c>
      <c r="L448">
        <v>0</v>
      </c>
      <c r="M448">
        <v>0</v>
      </c>
      <c r="N448" s="5">
        <v>0</v>
      </c>
      <c r="O448">
        <v>0</v>
      </c>
    </row>
    <row r="449" spans="1:15" hidden="1" x14ac:dyDescent="0.25">
      <c r="A449" s="2" t="s">
        <v>3010</v>
      </c>
      <c r="B449" s="3">
        <v>43908</v>
      </c>
      <c r="C449" s="2" t="s">
        <v>3011</v>
      </c>
      <c r="D449" t="s">
        <v>6146</v>
      </c>
      <c r="E449" s="2">
        <v>3</v>
      </c>
      <c r="F449" s="2" t="s">
        <v>3012</v>
      </c>
      <c r="G449" s="4" t="s">
        <v>3013</v>
      </c>
      <c r="H449" s="2" t="s">
        <v>19</v>
      </c>
      <c r="I449" s="2" t="s">
        <v>184</v>
      </c>
      <c r="J449">
        <v>0</v>
      </c>
      <c r="K449">
        <v>0</v>
      </c>
      <c r="L449">
        <v>0</v>
      </c>
      <c r="M449">
        <v>0</v>
      </c>
      <c r="N449" s="5">
        <v>0</v>
      </c>
      <c r="O449">
        <v>0</v>
      </c>
    </row>
    <row r="450" spans="1:15" hidden="1" x14ac:dyDescent="0.25">
      <c r="A450" s="2" t="s">
        <v>3015</v>
      </c>
      <c r="B450" s="3">
        <v>44718</v>
      </c>
      <c r="C450" s="2" t="s">
        <v>3016</v>
      </c>
      <c r="D450" t="s">
        <v>6173</v>
      </c>
      <c r="E450" s="2">
        <v>1</v>
      </c>
      <c r="F450" s="2" t="s">
        <v>3017</v>
      </c>
      <c r="G450" s="4" t="s">
        <v>3018</v>
      </c>
      <c r="H450" s="2" t="s">
        <v>318</v>
      </c>
      <c r="I450" s="2" t="s">
        <v>344</v>
      </c>
      <c r="J450">
        <v>0</v>
      </c>
      <c r="K450">
        <v>0</v>
      </c>
      <c r="L450">
        <v>0</v>
      </c>
      <c r="M450">
        <v>0</v>
      </c>
      <c r="N450" s="5">
        <v>0</v>
      </c>
      <c r="O450">
        <v>0</v>
      </c>
    </row>
    <row r="451" spans="1:15" hidden="1" x14ac:dyDescent="0.25">
      <c r="A451" s="2" t="s">
        <v>3021</v>
      </c>
      <c r="B451" s="3">
        <v>44336</v>
      </c>
      <c r="C451" s="2" t="s">
        <v>3022</v>
      </c>
      <c r="D451" t="s">
        <v>6163</v>
      </c>
      <c r="E451" s="2">
        <v>2</v>
      </c>
      <c r="F451" s="2" t="s">
        <v>3023</v>
      </c>
      <c r="G451" s="4" t="s">
        <v>3024</v>
      </c>
      <c r="H451" s="2" t="s">
        <v>19</v>
      </c>
      <c r="I451" s="2" t="s">
        <v>260</v>
      </c>
      <c r="J451">
        <v>0</v>
      </c>
      <c r="K451">
        <v>0</v>
      </c>
      <c r="L451">
        <v>0</v>
      </c>
      <c r="M451">
        <v>0</v>
      </c>
      <c r="N451" s="5">
        <v>0</v>
      </c>
      <c r="O451">
        <v>0</v>
      </c>
    </row>
    <row r="452" spans="1:15" hidden="1" x14ac:dyDescent="0.25">
      <c r="A452" s="2" t="s">
        <v>3027</v>
      </c>
      <c r="B452" s="3">
        <v>44207</v>
      </c>
      <c r="C452" s="2" t="s">
        <v>3028</v>
      </c>
      <c r="D452" t="s">
        <v>6145</v>
      </c>
      <c r="E452" s="2">
        <v>5</v>
      </c>
      <c r="F452" s="2" t="s">
        <v>3029</v>
      </c>
      <c r="G452" s="4" t="s">
        <v>3030</v>
      </c>
      <c r="H452" s="2" t="s">
        <v>318</v>
      </c>
      <c r="I452" s="2" t="s">
        <v>3033</v>
      </c>
      <c r="J452">
        <v>0</v>
      </c>
      <c r="K452">
        <v>0</v>
      </c>
      <c r="L452">
        <v>0</v>
      </c>
      <c r="M452">
        <v>0</v>
      </c>
      <c r="N452" s="5">
        <v>0</v>
      </c>
      <c r="O452">
        <v>0</v>
      </c>
    </row>
    <row r="453" spans="1:15" hidden="1" x14ac:dyDescent="0.25">
      <c r="A453" s="2" t="s">
        <v>3035</v>
      </c>
      <c r="B453" s="3">
        <v>43518</v>
      </c>
      <c r="C453" s="2" t="s">
        <v>3036</v>
      </c>
      <c r="D453" t="s">
        <v>6149</v>
      </c>
      <c r="E453" s="2">
        <v>2</v>
      </c>
      <c r="F453" s="2" t="s">
        <v>3037</v>
      </c>
      <c r="G453" s="4" t="s">
        <v>3038</v>
      </c>
      <c r="H453" s="2" t="s">
        <v>19</v>
      </c>
      <c r="I453" s="2" t="s">
        <v>35</v>
      </c>
      <c r="J453">
        <v>0</v>
      </c>
      <c r="K453">
        <v>0</v>
      </c>
      <c r="L453">
        <v>0</v>
      </c>
      <c r="M453">
        <v>0</v>
      </c>
      <c r="N453" s="5">
        <v>0</v>
      </c>
      <c r="O453">
        <v>0</v>
      </c>
    </row>
    <row r="454" spans="1:15" hidden="1" x14ac:dyDescent="0.25">
      <c r="A454" s="2" t="s">
        <v>3041</v>
      </c>
      <c r="B454" s="3">
        <v>44524</v>
      </c>
      <c r="C454" s="2" t="s">
        <v>3042</v>
      </c>
      <c r="D454" t="s">
        <v>6167</v>
      </c>
      <c r="E454" s="2">
        <v>3</v>
      </c>
      <c r="F454" s="2" t="s">
        <v>3043</v>
      </c>
      <c r="G454" s="4" t="s">
        <v>3044</v>
      </c>
      <c r="H454" s="2" t="s">
        <v>19</v>
      </c>
      <c r="I454" s="2" t="s">
        <v>105</v>
      </c>
      <c r="J454">
        <v>0</v>
      </c>
      <c r="K454">
        <v>0</v>
      </c>
      <c r="L454">
        <v>0</v>
      </c>
      <c r="M454">
        <v>0</v>
      </c>
      <c r="N454" s="5">
        <v>0</v>
      </c>
      <c r="O454">
        <v>0</v>
      </c>
    </row>
    <row r="455" spans="1:15" hidden="1" x14ac:dyDescent="0.25">
      <c r="A455" s="2" t="s">
        <v>3047</v>
      </c>
      <c r="B455" s="3">
        <v>44579</v>
      </c>
      <c r="C455" s="2" t="s">
        <v>3048</v>
      </c>
      <c r="D455" t="s">
        <v>6161</v>
      </c>
      <c r="E455" s="2">
        <v>4</v>
      </c>
      <c r="F455" s="2" t="s">
        <v>3049</v>
      </c>
      <c r="G455" s="4" t="s">
        <v>3050</v>
      </c>
      <c r="H455" s="2" t="s">
        <v>19</v>
      </c>
      <c r="I455" s="2" t="s">
        <v>202</v>
      </c>
      <c r="J455">
        <v>0</v>
      </c>
      <c r="K455">
        <v>0</v>
      </c>
      <c r="L455">
        <v>0</v>
      </c>
      <c r="M455">
        <v>0</v>
      </c>
      <c r="N455" s="5">
        <v>0</v>
      </c>
      <c r="O455">
        <v>0</v>
      </c>
    </row>
    <row r="456" spans="1:15" hidden="1" x14ac:dyDescent="0.25">
      <c r="A456" s="2" t="s">
        <v>3053</v>
      </c>
      <c r="B456" s="3">
        <v>44421</v>
      </c>
      <c r="C456" s="2" t="s">
        <v>3054</v>
      </c>
      <c r="D456" t="s">
        <v>6149</v>
      </c>
      <c r="E456" s="2">
        <v>4</v>
      </c>
      <c r="F456" s="2" t="s">
        <v>3055</v>
      </c>
      <c r="G456" s="4" t="s">
        <v>3056</v>
      </c>
      <c r="H456" s="2" t="s">
        <v>318</v>
      </c>
      <c r="I456" s="2" t="s">
        <v>449</v>
      </c>
      <c r="J456">
        <v>0</v>
      </c>
      <c r="K456">
        <v>0</v>
      </c>
      <c r="L456">
        <v>0</v>
      </c>
      <c r="M456">
        <v>0</v>
      </c>
      <c r="N456" s="5">
        <v>0</v>
      </c>
      <c r="O456">
        <v>0</v>
      </c>
    </row>
    <row r="457" spans="1:15" hidden="1" x14ac:dyDescent="0.25">
      <c r="A457" s="2" t="s">
        <v>3058</v>
      </c>
      <c r="B457" s="3">
        <v>43841</v>
      </c>
      <c r="C457" s="2" t="s">
        <v>3059</v>
      </c>
      <c r="D457" t="s">
        <v>6145</v>
      </c>
      <c r="E457" s="2">
        <v>2</v>
      </c>
      <c r="F457" s="2" t="s">
        <v>3060</v>
      </c>
      <c r="G457" s="4" t="s">
        <v>3061</v>
      </c>
      <c r="H457" s="2" t="s">
        <v>318</v>
      </c>
      <c r="I457" s="2" t="s">
        <v>488</v>
      </c>
      <c r="J457">
        <v>0</v>
      </c>
      <c r="K457">
        <v>0</v>
      </c>
      <c r="L457">
        <v>0</v>
      </c>
      <c r="M457">
        <v>0</v>
      </c>
      <c r="N457" s="5">
        <v>0</v>
      </c>
      <c r="O457">
        <v>0</v>
      </c>
    </row>
    <row r="458" spans="1:15" hidden="1" x14ac:dyDescent="0.25">
      <c r="A458" s="2" t="s">
        <v>3064</v>
      </c>
      <c r="B458" s="3">
        <v>44017</v>
      </c>
      <c r="C458" s="2" t="s">
        <v>3065</v>
      </c>
      <c r="D458" t="s">
        <v>6149</v>
      </c>
      <c r="E458" s="2">
        <v>2</v>
      </c>
      <c r="F458" s="2" t="s">
        <v>3066</v>
      </c>
      <c r="G458" s="4" t="s">
        <v>3067</v>
      </c>
      <c r="H458" s="2" t="s">
        <v>28</v>
      </c>
      <c r="I458" s="2" t="s">
        <v>284</v>
      </c>
      <c r="J458">
        <v>0</v>
      </c>
      <c r="K458">
        <v>0</v>
      </c>
      <c r="L458">
        <v>0</v>
      </c>
      <c r="M458">
        <v>0</v>
      </c>
      <c r="N458" s="5">
        <v>0</v>
      </c>
      <c r="O458">
        <v>0</v>
      </c>
    </row>
    <row r="459" spans="1:15" hidden="1" x14ac:dyDescent="0.25">
      <c r="A459" s="2" t="s">
        <v>3070</v>
      </c>
      <c r="B459" s="3">
        <v>43671</v>
      </c>
      <c r="C459" s="2" t="s">
        <v>3071</v>
      </c>
      <c r="D459" t="s">
        <v>6161</v>
      </c>
      <c r="E459" s="2">
        <v>5</v>
      </c>
      <c r="F459" s="2" t="s">
        <v>3072</v>
      </c>
      <c r="G459" s="4" t="s">
        <v>3073</v>
      </c>
      <c r="H459" s="2" t="s">
        <v>19</v>
      </c>
      <c r="I459" s="2" t="s">
        <v>219</v>
      </c>
      <c r="J459">
        <v>0</v>
      </c>
      <c r="K459">
        <v>0</v>
      </c>
      <c r="L459">
        <v>0</v>
      </c>
      <c r="M459">
        <v>0</v>
      </c>
      <c r="N459" s="5">
        <v>0</v>
      </c>
      <c r="O459">
        <v>0</v>
      </c>
    </row>
    <row r="460" spans="1:15" hidden="1" x14ac:dyDescent="0.25">
      <c r="A460" s="2" t="s">
        <v>3076</v>
      </c>
      <c r="B460" s="3">
        <v>44707</v>
      </c>
      <c r="C460" s="2" t="s">
        <v>3077</v>
      </c>
      <c r="D460" t="s">
        <v>6155</v>
      </c>
      <c r="E460" s="2">
        <v>4</v>
      </c>
      <c r="F460" s="2" t="s">
        <v>3078</v>
      </c>
      <c r="G460" s="4" t="s">
        <v>3079</v>
      </c>
      <c r="H460" s="2" t="s">
        <v>19</v>
      </c>
      <c r="I460" s="2" t="s">
        <v>126</v>
      </c>
      <c r="J460">
        <v>0</v>
      </c>
      <c r="K460">
        <v>0</v>
      </c>
      <c r="L460">
        <v>0</v>
      </c>
      <c r="M460">
        <v>0</v>
      </c>
      <c r="N460" s="5">
        <v>0</v>
      </c>
      <c r="O460">
        <v>0</v>
      </c>
    </row>
    <row r="461" spans="1:15" hidden="1" x14ac:dyDescent="0.25">
      <c r="A461" s="2" t="s">
        <v>3082</v>
      </c>
      <c r="B461" s="3">
        <v>43840</v>
      </c>
      <c r="C461" s="2" t="s">
        <v>3083</v>
      </c>
      <c r="D461" t="s">
        <v>6145</v>
      </c>
      <c r="E461" s="2">
        <v>5</v>
      </c>
      <c r="F461" s="2" t="s">
        <v>3084</v>
      </c>
      <c r="G461" s="4" t="s">
        <v>3085</v>
      </c>
      <c r="H461" s="2" t="s">
        <v>19</v>
      </c>
      <c r="I461" s="2" t="s">
        <v>33</v>
      </c>
      <c r="J461">
        <v>0</v>
      </c>
      <c r="K461">
        <v>0</v>
      </c>
      <c r="L461">
        <v>0</v>
      </c>
      <c r="M461">
        <v>0</v>
      </c>
      <c r="N461" s="5">
        <v>0</v>
      </c>
      <c r="O461">
        <v>0</v>
      </c>
    </row>
    <row r="462" spans="1:15" hidden="1" x14ac:dyDescent="0.25">
      <c r="A462" s="2" t="s">
        <v>3088</v>
      </c>
      <c r="B462" s="3">
        <v>43602</v>
      </c>
      <c r="C462" s="2" t="s">
        <v>3089</v>
      </c>
      <c r="D462" t="s">
        <v>6172</v>
      </c>
      <c r="E462" s="2">
        <v>3</v>
      </c>
      <c r="F462" s="2" t="s">
        <v>3090</v>
      </c>
      <c r="G462" s="4" t="s">
        <v>3091</v>
      </c>
      <c r="H462" s="2" t="s">
        <v>318</v>
      </c>
      <c r="I462" s="2" t="s">
        <v>399</v>
      </c>
      <c r="J462">
        <v>0</v>
      </c>
      <c r="K462">
        <v>0</v>
      </c>
      <c r="L462">
        <v>0</v>
      </c>
      <c r="M462">
        <v>0</v>
      </c>
      <c r="N462" s="5">
        <v>0</v>
      </c>
      <c r="O462">
        <v>0</v>
      </c>
    </row>
    <row r="463" spans="1:15" hidden="1" x14ac:dyDescent="0.25">
      <c r="A463" s="2" t="s">
        <v>3094</v>
      </c>
      <c r="B463" s="3">
        <v>44036</v>
      </c>
      <c r="C463" s="2" t="s">
        <v>3095</v>
      </c>
      <c r="D463" t="s">
        <v>6163</v>
      </c>
      <c r="E463" s="2">
        <v>4</v>
      </c>
      <c r="F463" s="2" t="s">
        <v>3096</v>
      </c>
      <c r="G463" s="4" t="s">
        <v>3097</v>
      </c>
      <c r="H463" s="2" t="s">
        <v>28</v>
      </c>
      <c r="I463" s="2" t="s">
        <v>85</v>
      </c>
      <c r="J463">
        <v>0</v>
      </c>
      <c r="K463">
        <v>0</v>
      </c>
      <c r="L463">
        <v>0</v>
      </c>
      <c r="M463">
        <v>0</v>
      </c>
      <c r="N463" s="5">
        <v>0</v>
      </c>
      <c r="O463">
        <v>0</v>
      </c>
    </row>
    <row r="464" spans="1:15" hidden="1" x14ac:dyDescent="0.25">
      <c r="A464" s="2" t="s">
        <v>3100</v>
      </c>
      <c r="B464" s="3">
        <v>44124</v>
      </c>
      <c r="C464" s="2" t="s">
        <v>3101</v>
      </c>
      <c r="D464" t="s">
        <v>6147</v>
      </c>
      <c r="E464" s="2">
        <v>5</v>
      </c>
      <c r="F464" s="2" t="s">
        <v>3102</v>
      </c>
      <c r="G464" s="4" t="s">
        <v>3103</v>
      </c>
      <c r="H464" s="2" t="s">
        <v>19</v>
      </c>
      <c r="I464" s="2" t="s">
        <v>84</v>
      </c>
      <c r="J464">
        <v>0</v>
      </c>
      <c r="K464">
        <v>0</v>
      </c>
      <c r="L464">
        <v>0</v>
      </c>
      <c r="M464">
        <v>0</v>
      </c>
      <c r="N464" s="5">
        <v>0</v>
      </c>
      <c r="O464">
        <v>0</v>
      </c>
    </row>
    <row r="465" spans="1:15" hidden="1" x14ac:dyDescent="0.25">
      <c r="A465" s="2" t="s">
        <v>3106</v>
      </c>
      <c r="B465" s="3">
        <v>43730</v>
      </c>
      <c r="C465" s="2" t="s">
        <v>3107</v>
      </c>
      <c r="D465" t="s">
        <v>6141</v>
      </c>
      <c r="E465" s="2">
        <v>2</v>
      </c>
      <c r="F465" s="2" t="s">
        <v>3108</v>
      </c>
      <c r="G465" s="4" t="s">
        <v>3109</v>
      </c>
      <c r="H465" s="2" t="s">
        <v>318</v>
      </c>
      <c r="I465" s="2" t="s">
        <v>439</v>
      </c>
      <c r="J465">
        <v>0</v>
      </c>
      <c r="K465">
        <v>0</v>
      </c>
      <c r="L465">
        <v>0</v>
      </c>
      <c r="M465">
        <v>0</v>
      </c>
      <c r="N465" s="5">
        <v>0</v>
      </c>
      <c r="O465">
        <v>0</v>
      </c>
    </row>
    <row r="466" spans="1:15" hidden="1" x14ac:dyDescent="0.25">
      <c r="A466" s="2" t="s">
        <v>3112</v>
      </c>
      <c r="B466" s="3">
        <v>43989</v>
      </c>
      <c r="C466" s="2" t="s">
        <v>3113</v>
      </c>
      <c r="D466" t="s">
        <v>6165</v>
      </c>
      <c r="E466" s="2">
        <v>4</v>
      </c>
      <c r="F466" s="2" t="s">
        <v>3114</v>
      </c>
      <c r="G466" s="4" t="s">
        <v>3115</v>
      </c>
      <c r="H466" s="2" t="s">
        <v>28</v>
      </c>
      <c r="I466" s="2" t="s">
        <v>299</v>
      </c>
      <c r="J466">
        <v>0</v>
      </c>
      <c r="K466">
        <v>0</v>
      </c>
      <c r="L466">
        <v>0</v>
      </c>
      <c r="M466">
        <v>0</v>
      </c>
      <c r="N466" s="5">
        <v>0</v>
      </c>
      <c r="O466">
        <v>0</v>
      </c>
    </row>
    <row r="467" spans="1:15" hidden="1" x14ac:dyDescent="0.25">
      <c r="A467" s="2" t="s">
        <v>3118</v>
      </c>
      <c r="B467" s="3">
        <v>43814</v>
      </c>
      <c r="C467" s="2" t="s">
        <v>3119</v>
      </c>
      <c r="D467" t="s">
        <v>6149</v>
      </c>
      <c r="E467" s="2">
        <v>1</v>
      </c>
      <c r="F467" s="2" t="s">
        <v>3120</v>
      </c>
      <c r="G467" s="4" t="s">
        <v>3121</v>
      </c>
      <c r="H467" s="2" t="s">
        <v>19</v>
      </c>
      <c r="I467" s="2" t="s">
        <v>49</v>
      </c>
      <c r="J467">
        <v>0</v>
      </c>
      <c r="K467">
        <v>0</v>
      </c>
      <c r="L467">
        <v>0</v>
      </c>
      <c r="M467">
        <v>0</v>
      </c>
      <c r="N467" s="5">
        <v>0</v>
      </c>
      <c r="O467">
        <v>0</v>
      </c>
    </row>
    <row r="468" spans="1:15" hidden="1" x14ac:dyDescent="0.25">
      <c r="A468" s="2" t="s">
        <v>3124</v>
      </c>
      <c r="B468" s="3">
        <v>44171</v>
      </c>
      <c r="C468" s="2" t="s">
        <v>3125</v>
      </c>
      <c r="D468" t="s">
        <v>6154</v>
      </c>
      <c r="E468" s="2">
        <v>3</v>
      </c>
      <c r="F468" s="2" t="s">
        <v>3126</v>
      </c>
      <c r="G468" s="4" t="s">
        <v>3127</v>
      </c>
      <c r="H468" s="2" t="s">
        <v>19</v>
      </c>
      <c r="I468" s="2" t="s">
        <v>158</v>
      </c>
      <c r="J468">
        <v>0</v>
      </c>
      <c r="K468">
        <v>0</v>
      </c>
      <c r="L468">
        <v>0</v>
      </c>
      <c r="M468">
        <v>0</v>
      </c>
      <c r="N468" s="5">
        <v>0</v>
      </c>
      <c r="O468">
        <v>0</v>
      </c>
    </row>
    <row r="469" spans="1:15" hidden="1" x14ac:dyDescent="0.25">
      <c r="A469" s="2" t="s">
        <v>3130</v>
      </c>
      <c r="B469" s="3">
        <v>44536</v>
      </c>
      <c r="C469" s="2" t="s">
        <v>3131</v>
      </c>
      <c r="D469" t="s">
        <v>6158</v>
      </c>
      <c r="E469" s="2">
        <v>1</v>
      </c>
      <c r="F469" s="2" t="s">
        <v>3132</v>
      </c>
      <c r="G469" s="4" t="s">
        <v>3133</v>
      </c>
      <c r="H469" s="2" t="s">
        <v>19</v>
      </c>
      <c r="I469" s="2" t="s">
        <v>201</v>
      </c>
      <c r="J469">
        <v>0</v>
      </c>
      <c r="K469">
        <v>0</v>
      </c>
      <c r="L469">
        <v>0</v>
      </c>
      <c r="M469">
        <v>0</v>
      </c>
      <c r="N469" s="5">
        <v>0</v>
      </c>
      <c r="O469">
        <v>0</v>
      </c>
    </row>
    <row r="470" spans="1:15" hidden="1" x14ac:dyDescent="0.25">
      <c r="A470" s="2" t="s">
        <v>3136</v>
      </c>
      <c r="B470" s="3">
        <v>44023</v>
      </c>
      <c r="C470" s="2" t="s">
        <v>3137</v>
      </c>
      <c r="D470" t="s">
        <v>6141</v>
      </c>
      <c r="E470" s="2">
        <v>3</v>
      </c>
      <c r="F470" s="2" t="s">
        <v>3138</v>
      </c>
      <c r="G470" s="4" t="s">
        <v>3139</v>
      </c>
      <c r="H470" s="2" t="s">
        <v>19</v>
      </c>
      <c r="I470" s="2" t="s">
        <v>140</v>
      </c>
      <c r="J470">
        <v>0</v>
      </c>
      <c r="K470">
        <v>0</v>
      </c>
      <c r="L470">
        <v>0</v>
      </c>
      <c r="M470">
        <v>0</v>
      </c>
      <c r="N470" s="5">
        <v>0</v>
      </c>
      <c r="O470">
        <v>0</v>
      </c>
    </row>
    <row r="471" spans="1:15" hidden="1" x14ac:dyDescent="0.25">
      <c r="A471" s="2" t="s">
        <v>3141</v>
      </c>
      <c r="B471" s="3">
        <v>44375</v>
      </c>
      <c r="C471" s="2" t="s">
        <v>3194</v>
      </c>
      <c r="D471" t="s">
        <v>6184</v>
      </c>
      <c r="E471" s="2">
        <v>5</v>
      </c>
      <c r="F471" s="2" t="s">
        <v>3143</v>
      </c>
      <c r="G471" s="4" t="s">
        <v>3144</v>
      </c>
      <c r="H471" s="2" t="s">
        <v>19</v>
      </c>
      <c r="I471" s="2" t="s">
        <v>98</v>
      </c>
      <c r="J471">
        <v>0</v>
      </c>
      <c r="K471">
        <v>0</v>
      </c>
      <c r="L471">
        <v>0</v>
      </c>
      <c r="M471">
        <v>0</v>
      </c>
      <c r="N471" s="5">
        <v>0</v>
      </c>
      <c r="O471">
        <v>0</v>
      </c>
    </row>
    <row r="472" spans="1:15" hidden="1" x14ac:dyDescent="0.25">
      <c r="A472" s="2" t="s">
        <v>3147</v>
      </c>
      <c r="B472" s="3">
        <v>44656</v>
      </c>
      <c r="C472" s="2" t="s">
        <v>3148</v>
      </c>
      <c r="D472" t="s">
        <v>6157</v>
      </c>
      <c r="E472" s="2">
        <v>1</v>
      </c>
      <c r="F472" s="2" t="s">
        <v>3149</v>
      </c>
      <c r="G472" s="4" t="s">
        <v>3150</v>
      </c>
      <c r="H472" s="2" t="s">
        <v>19</v>
      </c>
      <c r="I472" s="2" t="s">
        <v>259</v>
      </c>
      <c r="J472">
        <v>0</v>
      </c>
      <c r="K472">
        <v>0</v>
      </c>
      <c r="L472">
        <v>0</v>
      </c>
      <c r="M472">
        <v>0</v>
      </c>
      <c r="N472" s="5">
        <v>0</v>
      </c>
      <c r="O472">
        <v>0</v>
      </c>
    </row>
    <row r="473" spans="1:15" hidden="1" x14ac:dyDescent="0.25">
      <c r="A473" s="2" t="s">
        <v>3153</v>
      </c>
      <c r="B473" s="3">
        <v>44644</v>
      </c>
      <c r="C473" s="2" t="s">
        <v>3154</v>
      </c>
      <c r="D473" t="s">
        <v>6181</v>
      </c>
      <c r="E473" s="2">
        <v>4</v>
      </c>
      <c r="F473" s="2" t="s">
        <v>3155</v>
      </c>
      <c r="G473" s="4">
        <v>0</v>
      </c>
      <c r="H473" s="2" t="s">
        <v>19</v>
      </c>
      <c r="I473" s="2" t="s">
        <v>148</v>
      </c>
      <c r="J473">
        <v>0</v>
      </c>
      <c r="K473">
        <v>0</v>
      </c>
      <c r="L473">
        <v>0</v>
      </c>
      <c r="M473">
        <v>0</v>
      </c>
      <c r="N473" s="5">
        <v>0</v>
      </c>
      <c r="O473">
        <v>0</v>
      </c>
    </row>
    <row r="474" spans="1:15" hidden="1" x14ac:dyDescent="0.25">
      <c r="A474" s="2" t="s">
        <v>3158</v>
      </c>
      <c r="B474" s="3">
        <v>43869</v>
      </c>
      <c r="C474" s="2" t="s">
        <v>3159</v>
      </c>
      <c r="D474" t="s">
        <v>6154</v>
      </c>
      <c r="E474" s="2">
        <v>2</v>
      </c>
      <c r="F474" s="2" t="s">
        <v>3160</v>
      </c>
      <c r="G474" s="4" t="s">
        <v>3161</v>
      </c>
      <c r="H474" s="2" t="s">
        <v>19</v>
      </c>
      <c r="I474" s="2" t="s">
        <v>67</v>
      </c>
      <c r="J474">
        <v>0</v>
      </c>
      <c r="K474">
        <v>0</v>
      </c>
      <c r="L474">
        <v>0</v>
      </c>
      <c r="M474">
        <v>0</v>
      </c>
      <c r="N474" s="5">
        <v>0</v>
      </c>
      <c r="O474">
        <v>0</v>
      </c>
    </row>
    <row r="475" spans="1:15" hidden="1" x14ac:dyDescent="0.25">
      <c r="A475" s="2" t="s">
        <v>3164</v>
      </c>
      <c r="B475" s="3">
        <v>44603</v>
      </c>
      <c r="C475" s="2" t="s">
        <v>3165</v>
      </c>
      <c r="D475" t="s">
        <v>6140</v>
      </c>
      <c r="E475" s="2">
        <v>2</v>
      </c>
      <c r="F475" s="2" t="s">
        <v>3166</v>
      </c>
      <c r="G475" s="4" t="s">
        <v>3167</v>
      </c>
      <c r="H475" s="2" t="s">
        <v>19</v>
      </c>
      <c r="I475" s="2" t="s">
        <v>105</v>
      </c>
      <c r="J475">
        <v>0</v>
      </c>
      <c r="K475">
        <v>0</v>
      </c>
      <c r="L475">
        <v>0</v>
      </c>
      <c r="M475">
        <v>0</v>
      </c>
      <c r="N475" s="5">
        <v>0</v>
      </c>
      <c r="O475">
        <v>0</v>
      </c>
    </row>
    <row r="476" spans="1:15" hidden="1" x14ac:dyDescent="0.25">
      <c r="A476" s="2" t="s">
        <v>3170</v>
      </c>
      <c r="B476" s="3">
        <v>44014</v>
      </c>
      <c r="C476" s="2" t="s">
        <v>3171</v>
      </c>
      <c r="D476" t="s">
        <v>6166</v>
      </c>
      <c r="E476" s="2">
        <v>1</v>
      </c>
      <c r="F476" s="2" t="s">
        <v>3172</v>
      </c>
      <c r="G476" s="4" t="s">
        <v>3173</v>
      </c>
      <c r="H476" s="2" t="s">
        <v>318</v>
      </c>
      <c r="I476" s="2" t="s">
        <v>393</v>
      </c>
      <c r="J476">
        <v>0</v>
      </c>
      <c r="K476">
        <v>0</v>
      </c>
      <c r="L476">
        <v>0</v>
      </c>
      <c r="M476">
        <v>0</v>
      </c>
      <c r="N476" s="5">
        <v>0</v>
      </c>
      <c r="O476">
        <v>0</v>
      </c>
    </row>
    <row r="477" spans="1:15" hidden="1" x14ac:dyDescent="0.25">
      <c r="A477" s="2" t="s">
        <v>3176</v>
      </c>
      <c r="B477" s="3">
        <v>44767</v>
      </c>
      <c r="C477" s="2" t="s">
        <v>3177</v>
      </c>
      <c r="D477" t="s">
        <v>6159</v>
      </c>
      <c r="E477" s="2">
        <v>2</v>
      </c>
      <c r="F477" s="2" t="s">
        <v>3178</v>
      </c>
      <c r="G477" s="4" t="s">
        <v>3179</v>
      </c>
      <c r="H477" s="2" t="s">
        <v>19</v>
      </c>
      <c r="I477" s="2" t="s">
        <v>315</v>
      </c>
      <c r="J477">
        <v>0</v>
      </c>
      <c r="K477">
        <v>0</v>
      </c>
      <c r="L477">
        <v>0</v>
      </c>
      <c r="M477">
        <v>0</v>
      </c>
      <c r="N477" s="5">
        <v>0</v>
      </c>
      <c r="O477">
        <v>0</v>
      </c>
    </row>
    <row r="478" spans="1:15" hidden="1" x14ac:dyDescent="0.25">
      <c r="A478" s="2" t="s">
        <v>3181</v>
      </c>
      <c r="B478" s="3">
        <v>44274</v>
      </c>
      <c r="C478" s="2" t="s">
        <v>3182</v>
      </c>
      <c r="D478" t="s">
        <v>6184</v>
      </c>
      <c r="E478" s="2">
        <v>6</v>
      </c>
      <c r="F478" s="2" t="s">
        <v>3183</v>
      </c>
      <c r="G478" s="4" t="s">
        <v>3184</v>
      </c>
      <c r="H478" s="2" t="s">
        <v>19</v>
      </c>
      <c r="I478" s="2" t="s">
        <v>219</v>
      </c>
      <c r="J478">
        <v>0</v>
      </c>
      <c r="K478">
        <v>0</v>
      </c>
      <c r="L478">
        <v>0</v>
      </c>
      <c r="M478">
        <v>0</v>
      </c>
      <c r="N478" s="5">
        <v>0</v>
      </c>
      <c r="O478">
        <v>0</v>
      </c>
    </row>
    <row r="479" spans="1:15" hidden="1" x14ac:dyDescent="0.25">
      <c r="A479" s="2" t="s">
        <v>3187</v>
      </c>
      <c r="B479" s="3">
        <v>43962</v>
      </c>
      <c r="C479" s="2" t="s">
        <v>3188</v>
      </c>
      <c r="D479" t="s">
        <v>6159</v>
      </c>
      <c r="E479" s="2">
        <v>6</v>
      </c>
      <c r="F479" s="2" t="s">
        <v>3189</v>
      </c>
      <c r="G479" s="4" t="s">
        <v>3190</v>
      </c>
      <c r="H479" s="2" t="s">
        <v>19</v>
      </c>
      <c r="I479" s="2" t="s">
        <v>185</v>
      </c>
      <c r="J479">
        <v>0</v>
      </c>
      <c r="K479">
        <v>0</v>
      </c>
      <c r="L479">
        <v>0</v>
      </c>
      <c r="M479">
        <v>0</v>
      </c>
      <c r="N479" s="5">
        <v>0</v>
      </c>
      <c r="O479">
        <v>0</v>
      </c>
    </row>
    <row r="480" spans="1:15" hidden="1" x14ac:dyDescent="0.25">
      <c r="A480" s="2" t="s">
        <v>3193</v>
      </c>
      <c r="B480" s="3">
        <v>43624</v>
      </c>
      <c r="C480" s="2" t="s">
        <v>3194</v>
      </c>
      <c r="D480" t="s">
        <v>6177</v>
      </c>
      <c r="E480" s="2">
        <v>6</v>
      </c>
      <c r="F480" s="2" t="s">
        <v>3195</v>
      </c>
      <c r="G480" s="4" t="s">
        <v>3196</v>
      </c>
      <c r="H480" s="2" t="s">
        <v>19</v>
      </c>
      <c r="I480" s="2" t="s">
        <v>89</v>
      </c>
      <c r="J480">
        <v>0</v>
      </c>
      <c r="K480">
        <v>0</v>
      </c>
      <c r="L480">
        <v>0</v>
      </c>
      <c r="M480">
        <v>0</v>
      </c>
      <c r="N480" s="5">
        <v>0</v>
      </c>
      <c r="O480">
        <v>0</v>
      </c>
    </row>
    <row r="481" spans="1:15" hidden="1" x14ac:dyDescent="0.25">
      <c r="A481" s="2" t="s">
        <v>3193</v>
      </c>
      <c r="B481" s="3">
        <v>43624</v>
      </c>
      <c r="C481" s="2" t="s">
        <v>3194</v>
      </c>
      <c r="D481" t="s">
        <v>6166</v>
      </c>
      <c r="E481" s="2">
        <v>4</v>
      </c>
      <c r="F481" s="2" t="s">
        <v>3200</v>
      </c>
      <c r="G481" s="4">
        <v>0</v>
      </c>
      <c r="H481" s="2" t="s">
        <v>19</v>
      </c>
      <c r="I481" s="2" t="s">
        <v>34</v>
      </c>
      <c r="J481">
        <v>0</v>
      </c>
      <c r="K481">
        <v>0</v>
      </c>
      <c r="L481">
        <v>0</v>
      </c>
      <c r="M481">
        <v>0</v>
      </c>
      <c r="N481" s="5">
        <v>0</v>
      </c>
      <c r="O481">
        <v>0</v>
      </c>
    </row>
    <row r="482" spans="1:15" hidden="1" x14ac:dyDescent="0.25">
      <c r="A482" s="2" t="s">
        <v>3193</v>
      </c>
      <c r="B482" s="3">
        <v>43624</v>
      </c>
      <c r="C482" s="2" t="s">
        <v>3194</v>
      </c>
      <c r="D482" t="s">
        <v>6156</v>
      </c>
      <c r="E482" s="2">
        <v>1</v>
      </c>
      <c r="F482" s="2" t="s">
        <v>3204</v>
      </c>
      <c r="G482" s="4" t="s">
        <v>3205</v>
      </c>
      <c r="H482" s="2" t="s">
        <v>19</v>
      </c>
      <c r="I482" s="2" t="s">
        <v>38</v>
      </c>
      <c r="J482">
        <v>0</v>
      </c>
      <c r="K482">
        <v>0</v>
      </c>
      <c r="L482">
        <v>0</v>
      </c>
      <c r="M482">
        <v>0</v>
      </c>
      <c r="N482" s="5">
        <v>0</v>
      </c>
      <c r="O482">
        <v>0</v>
      </c>
    </row>
    <row r="483" spans="1:15" hidden="1" x14ac:dyDescent="0.25">
      <c r="A483" s="2" t="s">
        <v>3208</v>
      </c>
      <c r="B483" s="3">
        <v>43747</v>
      </c>
      <c r="C483" s="2" t="s">
        <v>3209</v>
      </c>
      <c r="D483" t="s">
        <v>6179</v>
      </c>
      <c r="E483" s="2">
        <v>2</v>
      </c>
      <c r="F483" s="2" t="s">
        <v>3210</v>
      </c>
      <c r="G483" s="4" t="s">
        <v>3211</v>
      </c>
      <c r="H483" s="2" t="s">
        <v>28</v>
      </c>
      <c r="I483" s="2" t="s">
        <v>251</v>
      </c>
      <c r="J483">
        <v>0</v>
      </c>
      <c r="K483">
        <v>0</v>
      </c>
      <c r="L483">
        <v>0</v>
      </c>
      <c r="M483">
        <v>0</v>
      </c>
      <c r="N483" s="5">
        <v>0</v>
      </c>
      <c r="O483">
        <v>0</v>
      </c>
    </row>
    <row r="484" spans="1:15" hidden="1" x14ac:dyDescent="0.25">
      <c r="A484" s="2" t="s">
        <v>3214</v>
      </c>
      <c r="B484" s="3">
        <v>44247</v>
      </c>
      <c r="C484" s="2" t="s">
        <v>3215</v>
      </c>
      <c r="D484" t="s">
        <v>6185</v>
      </c>
      <c r="E484" s="2">
        <v>5</v>
      </c>
      <c r="F484" s="2" t="s">
        <v>3216</v>
      </c>
      <c r="G484" s="4" t="s">
        <v>3217</v>
      </c>
      <c r="H484" s="2" t="s">
        <v>19</v>
      </c>
      <c r="I484" s="2" t="s">
        <v>164</v>
      </c>
      <c r="J484">
        <v>0</v>
      </c>
      <c r="K484">
        <v>0</v>
      </c>
      <c r="L484">
        <v>0</v>
      </c>
      <c r="M484">
        <v>0</v>
      </c>
      <c r="N484" s="5">
        <v>0</v>
      </c>
      <c r="O484">
        <v>0</v>
      </c>
    </row>
    <row r="485" spans="1:15" hidden="1" x14ac:dyDescent="0.25">
      <c r="A485" s="2" t="s">
        <v>3220</v>
      </c>
      <c r="B485" s="3">
        <v>43790</v>
      </c>
      <c r="C485" s="2" t="s">
        <v>3221</v>
      </c>
      <c r="D485" t="s">
        <v>6165</v>
      </c>
      <c r="E485" s="2">
        <v>2</v>
      </c>
      <c r="F485" s="2" t="s">
        <v>3222</v>
      </c>
      <c r="G485" s="4">
        <v>0</v>
      </c>
      <c r="H485" s="2" t="s">
        <v>19</v>
      </c>
      <c r="I485" s="2" t="s">
        <v>216</v>
      </c>
      <c r="J485">
        <v>0</v>
      </c>
      <c r="K485">
        <v>0</v>
      </c>
      <c r="L485">
        <v>0</v>
      </c>
      <c r="M485">
        <v>0</v>
      </c>
      <c r="N485" s="5">
        <v>0</v>
      </c>
      <c r="O485">
        <v>0</v>
      </c>
    </row>
    <row r="486" spans="1:15" hidden="1" x14ac:dyDescent="0.25">
      <c r="A486" s="2" t="s">
        <v>3225</v>
      </c>
      <c r="B486" s="3">
        <v>44479</v>
      </c>
      <c r="C486" s="2" t="s">
        <v>3226</v>
      </c>
      <c r="D486" t="s">
        <v>6161</v>
      </c>
      <c r="E486" s="2">
        <v>6</v>
      </c>
      <c r="F486" s="2" t="s">
        <v>3227</v>
      </c>
      <c r="G486" s="4" t="s">
        <v>3228</v>
      </c>
      <c r="H486" s="2" t="s">
        <v>19</v>
      </c>
      <c r="I486" s="2" t="s">
        <v>98</v>
      </c>
      <c r="J486">
        <v>0</v>
      </c>
      <c r="K486">
        <v>0</v>
      </c>
      <c r="L486">
        <v>0</v>
      </c>
      <c r="M486">
        <v>0</v>
      </c>
      <c r="N486" s="5">
        <v>0</v>
      </c>
      <c r="O486">
        <v>0</v>
      </c>
    </row>
    <row r="487" spans="1:15" hidden="1" x14ac:dyDescent="0.25">
      <c r="A487" s="2" t="s">
        <v>3230</v>
      </c>
      <c r="B487" s="3">
        <v>44413</v>
      </c>
      <c r="C487" s="2" t="s">
        <v>3231</v>
      </c>
      <c r="D487" t="s">
        <v>6178</v>
      </c>
      <c r="E487" s="2">
        <v>6</v>
      </c>
      <c r="F487" s="2" t="s">
        <v>3232</v>
      </c>
      <c r="G487" s="4" t="s">
        <v>3233</v>
      </c>
      <c r="H487" s="2" t="s">
        <v>318</v>
      </c>
      <c r="I487" s="2" t="s">
        <v>371</v>
      </c>
      <c r="J487">
        <v>0</v>
      </c>
      <c r="K487">
        <v>0</v>
      </c>
      <c r="L487">
        <v>0</v>
      </c>
      <c r="M487">
        <v>0</v>
      </c>
      <c r="N487" s="5">
        <v>0</v>
      </c>
      <c r="O487">
        <v>0</v>
      </c>
    </row>
    <row r="488" spans="1:15" hidden="1" x14ac:dyDescent="0.25">
      <c r="A488" s="2" t="s">
        <v>3236</v>
      </c>
      <c r="B488" s="3">
        <v>44043</v>
      </c>
      <c r="C488" s="2" t="s">
        <v>3237</v>
      </c>
      <c r="D488" t="s">
        <v>6160</v>
      </c>
      <c r="E488" s="2">
        <v>6</v>
      </c>
      <c r="F488" s="2" t="s">
        <v>3238</v>
      </c>
      <c r="G488" s="4" t="s">
        <v>3239</v>
      </c>
      <c r="H488" s="2" t="s">
        <v>318</v>
      </c>
      <c r="I488" s="2" t="s">
        <v>471</v>
      </c>
      <c r="J488">
        <v>0</v>
      </c>
      <c r="K488">
        <v>0</v>
      </c>
      <c r="L488">
        <v>0</v>
      </c>
      <c r="M488">
        <v>0</v>
      </c>
      <c r="N488" s="5">
        <v>0</v>
      </c>
      <c r="O488">
        <v>0</v>
      </c>
    </row>
    <row r="489" spans="1:15" hidden="1" x14ac:dyDescent="0.25">
      <c r="A489" s="2" t="s">
        <v>3242</v>
      </c>
      <c r="B489" s="3">
        <v>44093</v>
      </c>
      <c r="C489" s="2" t="s">
        <v>3243</v>
      </c>
      <c r="D489" t="s">
        <v>6183</v>
      </c>
      <c r="E489" s="2">
        <v>6</v>
      </c>
      <c r="F489" s="2" t="s">
        <v>3244</v>
      </c>
      <c r="G489" s="4" t="s">
        <v>3245</v>
      </c>
      <c r="H489" s="2" t="s">
        <v>318</v>
      </c>
      <c r="I489" s="2" t="s">
        <v>471</v>
      </c>
      <c r="J489">
        <v>0</v>
      </c>
      <c r="K489">
        <v>0</v>
      </c>
      <c r="L489">
        <v>0</v>
      </c>
      <c r="M489">
        <v>0</v>
      </c>
      <c r="N489" s="5">
        <v>0</v>
      </c>
      <c r="O489">
        <v>0</v>
      </c>
    </row>
    <row r="490" spans="1:15" hidden="1" x14ac:dyDescent="0.25">
      <c r="A490" s="2" t="s">
        <v>3248</v>
      </c>
      <c r="B490" s="3">
        <v>43954</v>
      </c>
      <c r="C490" s="2" t="s">
        <v>3249</v>
      </c>
      <c r="D490" t="s">
        <v>6174</v>
      </c>
      <c r="E490" s="2">
        <v>5</v>
      </c>
      <c r="F490" s="2" t="s">
        <v>3250</v>
      </c>
      <c r="G490" s="4" t="s">
        <v>3251</v>
      </c>
      <c r="H490" s="2" t="s">
        <v>318</v>
      </c>
      <c r="I490" s="2" t="s">
        <v>424</v>
      </c>
      <c r="J490">
        <v>0</v>
      </c>
      <c r="K490">
        <v>0</v>
      </c>
      <c r="L490">
        <v>0</v>
      </c>
      <c r="M490">
        <v>0</v>
      </c>
      <c r="N490" s="5">
        <v>0</v>
      </c>
      <c r="O490">
        <v>0</v>
      </c>
    </row>
    <row r="491" spans="1:15" hidden="1" x14ac:dyDescent="0.25">
      <c r="A491" s="2" t="s">
        <v>3254</v>
      </c>
      <c r="B491" s="3">
        <v>43654</v>
      </c>
      <c r="C491" s="2" t="s">
        <v>3255</v>
      </c>
      <c r="D491" t="s">
        <v>6170</v>
      </c>
      <c r="E491" s="2">
        <v>6</v>
      </c>
      <c r="F491" s="2" t="s">
        <v>3256</v>
      </c>
      <c r="G491" s="4" t="s">
        <v>3257</v>
      </c>
      <c r="H491" s="2" t="s">
        <v>19</v>
      </c>
      <c r="I491" s="2" t="s">
        <v>50</v>
      </c>
      <c r="J491">
        <v>0</v>
      </c>
      <c r="K491">
        <v>0</v>
      </c>
      <c r="L491">
        <v>0</v>
      </c>
      <c r="M491">
        <v>0</v>
      </c>
      <c r="N491" s="5">
        <v>0</v>
      </c>
      <c r="O491">
        <v>0</v>
      </c>
    </row>
    <row r="492" spans="1:15" hidden="1" x14ac:dyDescent="0.25">
      <c r="A492" s="2" t="s">
        <v>3260</v>
      </c>
      <c r="B492" s="3">
        <v>43764</v>
      </c>
      <c r="C492" s="2" t="s">
        <v>3261</v>
      </c>
      <c r="D492" t="s">
        <v>6169</v>
      </c>
      <c r="E492" s="2">
        <v>2</v>
      </c>
      <c r="F492" s="2" t="s">
        <v>3262</v>
      </c>
      <c r="G492" s="4" t="s">
        <v>3263</v>
      </c>
      <c r="H492" s="2" t="s">
        <v>19</v>
      </c>
      <c r="I492" s="2" t="s">
        <v>271</v>
      </c>
      <c r="J492">
        <v>0</v>
      </c>
      <c r="K492">
        <v>0</v>
      </c>
      <c r="L492">
        <v>0</v>
      </c>
      <c r="M492">
        <v>0</v>
      </c>
      <c r="N492" s="5">
        <v>0</v>
      </c>
      <c r="O492">
        <v>0</v>
      </c>
    </row>
    <row r="493" spans="1:15" hidden="1" x14ac:dyDescent="0.25">
      <c r="A493" s="2" t="s">
        <v>3266</v>
      </c>
      <c r="B493" s="3">
        <v>44101</v>
      </c>
      <c r="C493" s="2" t="s">
        <v>3267</v>
      </c>
      <c r="D493" t="s">
        <v>6150</v>
      </c>
      <c r="E493" s="2">
        <v>6</v>
      </c>
      <c r="F493" s="2" t="s">
        <v>3268</v>
      </c>
      <c r="G493" s="4">
        <v>0</v>
      </c>
      <c r="H493" s="2" t="s">
        <v>19</v>
      </c>
      <c r="I493" s="2" t="s">
        <v>36</v>
      </c>
      <c r="J493">
        <v>0</v>
      </c>
      <c r="K493">
        <v>0</v>
      </c>
      <c r="L493">
        <v>0</v>
      </c>
      <c r="M493">
        <v>0</v>
      </c>
      <c r="N493" s="5">
        <v>0</v>
      </c>
      <c r="O493">
        <v>0</v>
      </c>
    </row>
    <row r="494" spans="1:15" hidden="1" x14ac:dyDescent="0.25">
      <c r="A494" s="2" t="s">
        <v>3271</v>
      </c>
      <c r="B494" s="3">
        <v>44620</v>
      </c>
      <c r="C494" s="2" t="s">
        <v>3272</v>
      </c>
      <c r="D494" t="s">
        <v>6156</v>
      </c>
      <c r="E494" s="2">
        <v>1</v>
      </c>
      <c r="F494" s="2" t="s">
        <v>3273</v>
      </c>
      <c r="G494" s="4" t="s">
        <v>3274</v>
      </c>
      <c r="H494" s="2" t="s">
        <v>19</v>
      </c>
      <c r="I494" s="2" t="s">
        <v>45</v>
      </c>
      <c r="J494">
        <v>0</v>
      </c>
      <c r="K494">
        <v>0</v>
      </c>
      <c r="L494">
        <v>0</v>
      </c>
      <c r="M494">
        <v>0</v>
      </c>
      <c r="N494" s="5">
        <v>0</v>
      </c>
      <c r="O494">
        <v>0</v>
      </c>
    </row>
    <row r="495" spans="1:15" hidden="1" x14ac:dyDescent="0.25">
      <c r="A495" s="2" t="s">
        <v>3277</v>
      </c>
      <c r="B495" s="3">
        <v>44090</v>
      </c>
      <c r="C495" s="2" t="s">
        <v>3278</v>
      </c>
      <c r="D495" t="s">
        <v>6146</v>
      </c>
      <c r="E495" s="2">
        <v>6</v>
      </c>
      <c r="F495" s="2" t="s">
        <v>3279</v>
      </c>
      <c r="G495" s="4" t="s">
        <v>3280</v>
      </c>
      <c r="H495" s="2" t="s">
        <v>28</v>
      </c>
      <c r="I495" s="2" t="s">
        <v>273</v>
      </c>
      <c r="J495">
        <v>0</v>
      </c>
      <c r="K495">
        <v>0</v>
      </c>
      <c r="L495">
        <v>0</v>
      </c>
      <c r="M495">
        <v>0</v>
      </c>
      <c r="N495" s="5">
        <v>0</v>
      </c>
      <c r="O495">
        <v>0</v>
      </c>
    </row>
    <row r="496" spans="1:15" hidden="1" x14ac:dyDescent="0.25">
      <c r="A496" s="2" t="s">
        <v>3283</v>
      </c>
      <c r="B496" s="3">
        <v>44132</v>
      </c>
      <c r="C496" s="2" t="s">
        <v>3284</v>
      </c>
      <c r="D496" t="s">
        <v>6170</v>
      </c>
      <c r="E496" s="2">
        <v>2</v>
      </c>
      <c r="F496" s="2" t="s">
        <v>3285</v>
      </c>
      <c r="G496" s="4" t="s">
        <v>3286</v>
      </c>
      <c r="H496" s="2" t="s">
        <v>19</v>
      </c>
      <c r="I496" s="2" t="s">
        <v>32</v>
      </c>
      <c r="J496">
        <v>0</v>
      </c>
      <c r="K496">
        <v>0</v>
      </c>
      <c r="L496">
        <v>0</v>
      </c>
      <c r="M496">
        <v>0</v>
      </c>
      <c r="N496" s="5">
        <v>0</v>
      </c>
      <c r="O496">
        <v>0</v>
      </c>
    </row>
    <row r="497" spans="1:15" hidden="1" x14ac:dyDescent="0.25">
      <c r="A497" s="2" t="s">
        <v>3289</v>
      </c>
      <c r="B497" s="3">
        <v>43710</v>
      </c>
      <c r="C497" s="2" t="s">
        <v>3290</v>
      </c>
      <c r="D497" t="s">
        <v>6170</v>
      </c>
      <c r="E497" s="2">
        <v>5</v>
      </c>
      <c r="F497" s="2" t="s">
        <v>3291</v>
      </c>
      <c r="G497" s="4">
        <v>0</v>
      </c>
      <c r="H497" s="2" t="s">
        <v>19</v>
      </c>
      <c r="I497" s="2" t="s">
        <v>170</v>
      </c>
      <c r="J497">
        <v>0</v>
      </c>
      <c r="K497">
        <v>0</v>
      </c>
      <c r="L497">
        <v>0</v>
      </c>
      <c r="M497">
        <v>0</v>
      </c>
      <c r="N497" s="5">
        <v>0</v>
      </c>
      <c r="O497">
        <v>0</v>
      </c>
    </row>
    <row r="498" spans="1:15" hidden="1" x14ac:dyDescent="0.25">
      <c r="A498" s="2" t="s">
        <v>3294</v>
      </c>
      <c r="B498" s="3">
        <v>44438</v>
      </c>
      <c r="C498" s="2" t="s">
        <v>3295</v>
      </c>
      <c r="D498" t="s">
        <v>6153</v>
      </c>
      <c r="E498" s="2">
        <v>3</v>
      </c>
      <c r="F498" s="2" t="s">
        <v>3296</v>
      </c>
      <c r="G498" s="4" t="s">
        <v>3297</v>
      </c>
      <c r="H498" s="2" t="s">
        <v>19</v>
      </c>
      <c r="I498" s="2" t="s">
        <v>250</v>
      </c>
      <c r="J498">
        <v>0</v>
      </c>
      <c r="K498">
        <v>0</v>
      </c>
      <c r="L498">
        <v>0</v>
      </c>
      <c r="M498">
        <v>0</v>
      </c>
      <c r="N498" s="5">
        <v>0</v>
      </c>
      <c r="O498">
        <v>0</v>
      </c>
    </row>
    <row r="499" spans="1:15" hidden="1" x14ac:dyDescent="0.25">
      <c r="A499" s="2" t="s">
        <v>3300</v>
      </c>
      <c r="B499" s="3">
        <v>44351</v>
      </c>
      <c r="C499" s="2" t="s">
        <v>3301</v>
      </c>
      <c r="D499" t="s">
        <v>6147</v>
      </c>
      <c r="E499" s="2">
        <v>4</v>
      </c>
      <c r="F499" s="2" t="s">
        <v>3302</v>
      </c>
      <c r="G499" s="4" t="s">
        <v>3303</v>
      </c>
      <c r="H499" s="2" t="s">
        <v>318</v>
      </c>
      <c r="I499" s="2" t="s">
        <v>3306</v>
      </c>
      <c r="J499">
        <v>0</v>
      </c>
      <c r="K499">
        <v>0</v>
      </c>
      <c r="L499">
        <v>0</v>
      </c>
      <c r="M499">
        <v>0</v>
      </c>
      <c r="N499" s="5">
        <v>0</v>
      </c>
      <c r="O499">
        <v>0</v>
      </c>
    </row>
    <row r="500" spans="1:15" hidden="1" x14ac:dyDescent="0.25">
      <c r="A500" s="2" t="s">
        <v>3307</v>
      </c>
      <c r="B500" s="3">
        <v>44159</v>
      </c>
      <c r="C500" s="2" t="s">
        <v>3368</v>
      </c>
      <c r="D500" t="s">
        <v>6138</v>
      </c>
      <c r="E500" s="2">
        <v>5</v>
      </c>
      <c r="F500" s="2" t="s">
        <v>3309</v>
      </c>
      <c r="G500" s="4" t="s">
        <v>3310</v>
      </c>
      <c r="H500" s="2" t="s">
        <v>28</v>
      </c>
      <c r="I500" s="2" t="s">
        <v>220</v>
      </c>
      <c r="J500">
        <v>0</v>
      </c>
      <c r="K500">
        <v>0</v>
      </c>
      <c r="L500">
        <v>0</v>
      </c>
      <c r="M500">
        <v>0</v>
      </c>
      <c r="N500" s="5">
        <v>0</v>
      </c>
      <c r="O500">
        <v>0</v>
      </c>
    </row>
    <row r="501" spans="1:15" hidden="1" x14ac:dyDescent="0.25">
      <c r="A501" s="2" t="s">
        <v>3313</v>
      </c>
      <c r="B501" s="3">
        <v>44003</v>
      </c>
      <c r="C501" s="2" t="s">
        <v>3314</v>
      </c>
      <c r="D501" t="s">
        <v>6163</v>
      </c>
      <c r="E501" s="2">
        <v>3</v>
      </c>
      <c r="F501" s="2" t="s">
        <v>3315</v>
      </c>
      <c r="G501" s="4">
        <v>0</v>
      </c>
      <c r="H501" s="2" t="s">
        <v>318</v>
      </c>
      <c r="I501" s="2" t="s">
        <v>1700</v>
      </c>
      <c r="J501">
        <v>0</v>
      </c>
      <c r="K501">
        <v>0</v>
      </c>
      <c r="L501">
        <v>0</v>
      </c>
      <c r="M501">
        <v>0</v>
      </c>
      <c r="N501" s="5">
        <v>0</v>
      </c>
      <c r="O501">
        <v>0</v>
      </c>
    </row>
    <row r="502" spans="1:15" hidden="1" x14ac:dyDescent="0.25">
      <c r="A502" s="2" t="s">
        <v>3318</v>
      </c>
      <c r="B502" s="3">
        <v>44025</v>
      </c>
      <c r="C502" s="2" t="s">
        <v>3319</v>
      </c>
      <c r="D502" t="s">
        <v>6179</v>
      </c>
      <c r="E502" s="2">
        <v>4</v>
      </c>
      <c r="F502" s="2" t="s">
        <v>3320</v>
      </c>
      <c r="G502" s="4">
        <v>0</v>
      </c>
      <c r="H502" s="2" t="s">
        <v>19</v>
      </c>
      <c r="I502" s="2" t="s">
        <v>183</v>
      </c>
      <c r="J502">
        <v>0</v>
      </c>
      <c r="K502">
        <v>0</v>
      </c>
      <c r="L502">
        <v>0</v>
      </c>
      <c r="M502">
        <v>0</v>
      </c>
      <c r="N502" s="5">
        <v>0</v>
      </c>
      <c r="O502">
        <v>0</v>
      </c>
    </row>
    <row r="503" spans="1:15" hidden="1" x14ac:dyDescent="0.25">
      <c r="A503" s="2" t="s">
        <v>3323</v>
      </c>
      <c r="B503" s="3">
        <v>43467</v>
      </c>
      <c r="C503" s="2" t="s">
        <v>3324</v>
      </c>
      <c r="D503" t="s">
        <v>6174</v>
      </c>
      <c r="E503" s="2">
        <v>4</v>
      </c>
      <c r="F503" s="2" t="s">
        <v>3325</v>
      </c>
      <c r="G503" s="4" t="s">
        <v>3326</v>
      </c>
      <c r="H503" s="2" t="s">
        <v>28</v>
      </c>
      <c r="I503" s="2" t="s">
        <v>365</v>
      </c>
      <c r="J503">
        <v>0</v>
      </c>
      <c r="K503">
        <v>0</v>
      </c>
      <c r="L503">
        <v>0</v>
      </c>
      <c r="M503">
        <v>0</v>
      </c>
      <c r="N503" s="5">
        <v>0</v>
      </c>
      <c r="O503">
        <v>0</v>
      </c>
    </row>
    <row r="504" spans="1:15" hidden="1" x14ac:dyDescent="0.25">
      <c r="A504" s="2" t="s">
        <v>3323</v>
      </c>
      <c r="B504" s="3">
        <v>43467</v>
      </c>
      <c r="C504" s="2" t="s">
        <v>3324</v>
      </c>
      <c r="D504" t="s">
        <v>6156</v>
      </c>
      <c r="E504" s="2">
        <v>4</v>
      </c>
      <c r="F504" s="2" t="s">
        <v>3330</v>
      </c>
      <c r="G504" s="4" t="s">
        <v>3331</v>
      </c>
      <c r="H504" s="2" t="s">
        <v>19</v>
      </c>
      <c r="I504" s="2" t="s">
        <v>116</v>
      </c>
      <c r="J504">
        <v>0</v>
      </c>
      <c r="K504">
        <v>0</v>
      </c>
      <c r="L504">
        <v>0</v>
      </c>
      <c r="M504">
        <v>0</v>
      </c>
      <c r="N504" s="5">
        <v>0</v>
      </c>
      <c r="O504">
        <v>0</v>
      </c>
    </row>
    <row r="505" spans="1:15" hidden="1" x14ac:dyDescent="0.25">
      <c r="A505" s="2" t="s">
        <v>3323</v>
      </c>
      <c r="B505" s="3">
        <v>43467</v>
      </c>
      <c r="C505" s="2" t="s">
        <v>3324</v>
      </c>
      <c r="D505" t="s">
        <v>6143</v>
      </c>
      <c r="E505" s="2">
        <v>4</v>
      </c>
      <c r="F505" s="2" t="s">
        <v>3335</v>
      </c>
      <c r="G505" s="4">
        <v>0</v>
      </c>
      <c r="H505" s="2" t="s">
        <v>19</v>
      </c>
      <c r="I505" s="2" t="s">
        <v>450</v>
      </c>
      <c r="J505">
        <v>0</v>
      </c>
      <c r="K505">
        <v>0</v>
      </c>
      <c r="L505">
        <v>0</v>
      </c>
      <c r="M505">
        <v>0</v>
      </c>
      <c r="N505" s="5">
        <v>0</v>
      </c>
      <c r="O505">
        <v>0</v>
      </c>
    </row>
    <row r="506" spans="1:15" hidden="1" x14ac:dyDescent="0.25">
      <c r="A506" s="2" t="s">
        <v>3323</v>
      </c>
      <c r="B506" s="3">
        <v>43467</v>
      </c>
      <c r="C506" s="2" t="s">
        <v>3324</v>
      </c>
      <c r="D506" t="s">
        <v>6145</v>
      </c>
      <c r="E506" s="2">
        <v>3</v>
      </c>
      <c r="F506" s="2" t="s">
        <v>3339</v>
      </c>
      <c r="G506" s="4" t="s">
        <v>3340</v>
      </c>
      <c r="H506" s="2" t="s">
        <v>19</v>
      </c>
      <c r="I506" s="2" t="s">
        <v>45</v>
      </c>
      <c r="J506">
        <v>0</v>
      </c>
      <c r="K506">
        <v>0</v>
      </c>
      <c r="L506">
        <v>0</v>
      </c>
      <c r="M506">
        <v>0</v>
      </c>
      <c r="N506" s="5">
        <v>0</v>
      </c>
      <c r="O506">
        <v>0</v>
      </c>
    </row>
    <row r="507" spans="1:15" hidden="1" x14ac:dyDescent="0.25">
      <c r="A507" s="2" t="s">
        <v>3343</v>
      </c>
      <c r="B507" s="3">
        <v>44609</v>
      </c>
      <c r="C507" s="2" t="s">
        <v>3344</v>
      </c>
      <c r="D507" t="s">
        <v>6159</v>
      </c>
      <c r="E507" s="2">
        <v>6</v>
      </c>
      <c r="F507" s="2" t="s">
        <v>3345</v>
      </c>
      <c r="G507" s="4" t="s">
        <v>3346</v>
      </c>
      <c r="H507" s="2" t="s">
        <v>19</v>
      </c>
      <c r="I507" s="2" t="s">
        <v>257</v>
      </c>
      <c r="J507">
        <v>0</v>
      </c>
      <c r="K507">
        <v>0</v>
      </c>
      <c r="L507">
        <v>0</v>
      </c>
      <c r="M507">
        <v>0</v>
      </c>
      <c r="N507" s="5">
        <v>0</v>
      </c>
      <c r="O507">
        <v>0</v>
      </c>
    </row>
    <row r="508" spans="1:15" hidden="1" x14ac:dyDescent="0.25">
      <c r="A508" s="2" t="s">
        <v>3349</v>
      </c>
      <c r="B508" s="3">
        <v>44184</v>
      </c>
      <c r="C508" s="2" t="s">
        <v>3350</v>
      </c>
      <c r="D508" t="s">
        <v>6140</v>
      </c>
      <c r="E508" s="2">
        <v>2</v>
      </c>
      <c r="F508" s="2" t="s">
        <v>3351</v>
      </c>
      <c r="G508" s="4" t="s">
        <v>3352</v>
      </c>
      <c r="H508" s="2" t="s">
        <v>19</v>
      </c>
      <c r="I508" s="2" t="s">
        <v>50</v>
      </c>
      <c r="J508">
        <v>0</v>
      </c>
      <c r="K508">
        <v>0</v>
      </c>
      <c r="L508">
        <v>0</v>
      </c>
      <c r="M508">
        <v>0</v>
      </c>
      <c r="N508" s="5">
        <v>0</v>
      </c>
      <c r="O508">
        <v>0</v>
      </c>
    </row>
    <row r="509" spans="1:15" hidden="1" x14ac:dyDescent="0.25">
      <c r="A509" s="2" t="s">
        <v>3355</v>
      </c>
      <c r="B509" s="3">
        <v>43516</v>
      </c>
      <c r="C509" s="2" t="s">
        <v>3356</v>
      </c>
      <c r="D509" t="s">
        <v>6182</v>
      </c>
      <c r="E509" s="2">
        <v>3</v>
      </c>
      <c r="F509" s="2" t="s">
        <v>3357</v>
      </c>
      <c r="G509" s="4" t="s">
        <v>3358</v>
      </c>
      <c r="H509" s="2" t="s">
        <v>19</v>
      </c>
      <c r="I509" s="2" t="s">
        <v>255</v>
      </c>
      <c r="J509">
        <v>0</v>
      </c>
      <c r="K509">
        <v>0</v>
      </c>
      <c r="L509">
        <v>0</v>
      </c>
      <c r="M509">
        <v>0</v>
      </c>
      <c r="N509" s="5">
        <v>0</v>
      </c>
      <c r="O509">
        <v>0</v>
      </c>
    </row>
    <row r="510" spans="1:15" hidden="1" x14ac:dyDescent="0.25">
      <c r="A510" s="2" t="s">
        <v>3361</v>
      </c>
      <c r="B510" s="3">
        <v>44210</v>
      </c>
      <c r="C510" s="2" t="s">
        <v>3362</v>
      </c>
      <c r="D510" t="s">
        <v>6169</v>
      </c>
      <c r="E510" s="2">
        <v>6</v>
      </c>
      <c r="F510" s="2" t="s">
        <v>3363</v>
      </c>
      <c r="G510" s="4" t="s">
        <v>3364</v>
      </c>
      <c r="H510" s="2" t="s">
        <v>318</v>
      </c>
      <c r="I510" s="2" t="s">
        <v>377</v>
      </c>
      <c r="J510">
        <v>0</v>
      </c>
      <c r="K510">
        <v>0</v>
      </c>
      <c r="L510">
        <v>0</v>
      </c>
      <c r="M510">
        <v>0</v>
      </c>
      <c r="N510" s="5">
        <v>0</v>
      </c>
      <c r="O510">
        <v>0</v>
      </c>
    </row>
    <row r="511" spans="1:15" hidden="1" x14ac:dyDescent="0.25">
      <c r="A511" s="2" t="s">
        <v>3367</v>
      </c>
      <c r="B511" s="3">
        <v>43785</v>
      </c>
      <c r="C511" s="2" t="s">
        <v>3368</v>
      </c>
      <c r="D511" t="s">
        <v>6147</v>
      </c>
      <c r="E511" s="2">
        <v>3</v>
      </c>
      <c r="F511" s="2" t="s">
        <v>3369</v>
      </c>
      <c r="G511" s="4" t="s">
        <v>3370</v>
      </c>
      <c r="H511" s="2" t="s">
        <v>318</v>
      </c>
      <c r="I511" s="2" t="s">
        <v>466</v>
      </c>
      <c r="J511">
        <v>0</v>
      </c>
      <c r="K511">
        <v>0</v>
      </c>
      <c r="L511">
        <v>0</v>
      </c>
      <c r="M511">
        <v>0</v>
      </c>
      <c r="N511" s="5">
        <v>0</v>
      </c>
      <c r="O511">
        <v>0</v>
      </c>
    </row>
    <row r="512" spans="1:15" hidden="1" x14ac:dyDescent="0.25">
      <c r="A512" s="2" t="s">
        <v>3373</v>
      </c>
      <c r="B512" s="3">
        <v>43803</v>
      </c>
      <c r="C512" s="2" t="s">
        <v>3374</v>
      </c>
      <c r="D512" t="s">
        <v>6178</v>
      </c>
      <c r="E512" s="2">
        <v>3</v>
      </c>
      <c r="F512" s="2" t="s">
        <v>3375</v>
      </c>
      <c r="G512" s="4" t="s">
        <v>3376</v>
      </c>
      <c r="H512" s="2" t="s">
        <v>318</v>
      </c>
      <c r="I512" s="2" t="s">
        <v>469</v>
      </c>
      <c r="J512">
        <v>0</v>
      </c>
      <c r="K512">
        <v>0</v>
      </c>
      <c r="L512">
        <v>0</v>
      </c>
      <c r="M512">
        <v>0</v>
      </c>
      <c r="N512" s="5">
        <v>0</v>
      </c>
      <c r="O512">
        <v>0</v>
      </c>
    </row>
    <row r="513" spans="1:15" hidden="1" x14ac:dyDescent="0.25">
      <c r="A513" s="2" t="s">
        <v>3379</v>
      </c>
      <c r="B513" s="3">
        <v>44043</v>
      </c>
      <c r="C513" s="2" t="s">
        <v>3380</v>
      </c>
      <c r="D513" t="s">
        <v>6152</v>
      </c>
      <c r="E513" s="2">
        <v>4</v>
      </c>
      <c r="F513" s="2" t="s">
        <v>3381</v>
      </c>
      <c r="G513" s="4" t="s">
        <v>3382</v>
      </c>
      <c r="H513" s="2" t="s">
        <v>19</v>
      </c>
      <c r="I513" s="2" t="s">
        <v>144</v>
      </c>
      <c r="J513">
        <v>0</v>
      </c>
      <c r="K513">
        <v>0</v>
      </c>
      <c r="L513">
        <v>0</v>
      </c>
      <c r="M513">
        <v>0</v>
      </c>
      <c r="N513" s="5">
        <v>0</v>
      </c>
      <c r="O513">
        <v>0</v>
      </c>
    </row>
    <row r="514" spans="1:15" hidden="1" x14ac:dyDescent="0.25">
      <c r="A514" s="2" t="s">
        <v>3385</v>
      </c>
      <c r="B514" s="3">
        <v>43535</v>
      </c>
      <c r="C514" s="2" t="s">
        <v>3386</v>
      </c>
      <c r="D514" t="s">
        <v>6170</v>
      </c>
      <c r="E514" s="2">
        <v>3</v>
      </c>
      <c r="F514" s="2" t="s">
        <v>3387</v>
      </c>
      <c r="G514" s="4" t="s">
        <v>3388</v>
      </c>
      <c r="H514" s="2" t="s">
        <v>19</v>
      </c>
      <c r="I514" s="2" t="s">
        <v>328</v>
      </c>
      <c r="J514">
        <v>0</v>
      </c>
      <c r="K514">
        <v>0</v>
      </c>
      <c r="L514">
        <v>0</v>
      </c>
      <c r="M514">
        <v>0</v>
      </c>
      <c r="N514" s="5">
        <v>0</v>
      </c>
      <c r="O514">
        <v>0</v>
      </c>
    </row>
    <row r="515" spans="1:15" hidden="1" x14ac:dyDescent="0.25">
      <c r="A515" s="2" t="s">
        <v>3391</v>
      </c>
      <c r="B515" s="3">
        <v>44691</v>
      </c>
      <c r="C515" s="2" t="s">
        <v>3392</v>
      </c>
      <c r="D515" t="s">
        <v>6170</v>
      </c>
      <c r="E515" s="2">
        <v>5</v>
      </c>
      <c r="F515" s="2" t="s">
        <v>3393</v>
      </c>
      <c r="G515" s="4" t="s">
        <v>3394</v>
      </c>
      <c r="H515" s="2" t="s">
        <v>19</v>
      </c>
      <c r="I515" s="2" t="s">
        <v>46</v>
      </c>
      <c r="J515">
        <v>0</v>
      </c>
      <c r="K515">
        <v>0</v>
      </c>
      <c r="L515">
        <v>0</v>
      </c>
      <c r="M515">
        <v>0</v>
      </c>
      <c r="N515" s="5">
        <v>0</v>
      </c>
      <c r="O515">
        <v>0</v>
      </c>
    </row>
    <row r="516" spans="1:15" hidden="1" x14ac:dyDescent="0.25">
      <c r="A516" s="2" t="s">
        <v>3396</v>
      </c>
      <c r="B516" s="3">
        <v>44555</v>
      </c>
      <c r="C516" s="2" t="s">
        <v>3397</v>
      </c>
      <c r="D516" t="s">
        <v>6159</v>
      </c>
      <c r="E516" s="2">
        <v>6</v>
      </c>
      <c r="F516" s="2" t="s">
        <v>3398</v>
      </c>
      <c r="G516" s="4" t="s">
        <v>3399</v>
      </c>
      <c r="H516" s="2" t="s">
        <v>19</v>
      </c>
      <c r="I516" s="2" t="s">
        <v>41</v>
      </c>
      <c r="J516">
        <v>0</v>
      </c>
      <c r="K516">
        <v>0</v>
      </c>
      <c r="L516">
        <v>0</v>
      </c>
      <c r="M516">
        <v>0</v>
      </c>
      <c r="N516" s="5">
        <v>0</v>
      </c>
      <c r="O516">
        <v>0</v>
      </c>
    </row>
    <row r="517" spans="1:15" hidden="1" x14ac:dyDescent="0.25">
      <c r="A517" s="2" t="s">
        <v>3402</v>
      </c>
      <c r="B517" s="3">
        <v>44673</v>
      </c>
      <c r="C517" s="2" t="s">
        <v>3403</v>
      </c>
      <c r="D517" t="s">
        <v>6173</v>
      </c>
      <c r="E517" s="2">
        <v>3</v>
      </c>
      <c r="F517" s="2" t="s">
        <v>3404</v>
      </c>
      <c r="G517" s="4" t="s">
        <v>3405</v>
      </c>
      <c r="H517" s="2" t="s">
        <v>19</v>
      </c>
      <c r="I517" s="2" t="s">
        <v>104</v>
      </c>
      <c r="J517">
        <v>0</v>
      </c>
      <c r="K517">
        <v>0</v>
      </c>
      <c r="L517">
        <v>0</v>
      </c>
      <c r="M517">
        <v>0</v>
      </c>
      <c r="N517" s="5">
        <v>0</v>
      </c>
      <c r="O517">
        <v>0</v>
      </c>
    </row>
    <row r="518" spans="1:15" hidden="1" x14ac:dyDescent="0.25">
      <c r="A518" s="2" t="s">
        <v>3408</v>
      </c>
      <c r="B518" s="3">
        <v>44723</v>
      </c>
      <c r="C518" s="2" t="s">
        <v>3409</v>
      </c>
      <c r="D518" t="s">
        <v>6149</v>
      </c>
      <c r="E518" s="2">
        <v>5</v>
      </c>
      <c r="F518" s="2" t="s">
        <v>3410</v>
      </c>
      <c r="G518" s="4">
        <v>0</v>
      </c>
      <c r="H518" s="2" t="s">
        <v>19</v>
      </c>
      <c r="I518" s="2" t="s">
        <v>283</v>
      </c>
      <c r="J518">
        <v>0</v>
      </c>
      <c r="K518">
        <v>0</v>
      </c>
      <c r="L518">
        <v>0</v>
      </c>
      <c r="M518">
        <v>0</v>
      </c>
      <c r="N518" s="5">
        <v>0</v>
      </c>
      <c r="O518">
        <v>0</v>
      </c>
    </row>
    <row r="519" spans="1:15" hidden="1" x14ac:dyDescent="0.25">
      <c r="A519" s="2" t="s">
        <v>3413</v>
      </c>
      <c r="B519" s="3">
        <v>44678</v>
      </c>
      <c r="C519" s="2" t="s">
        <v>3414</v>
      </c>
      <c r="D519" t="s">
        <v>6150</v>
      </c>
      <c r="E519" s="2">
        <v>2</v>
      </c>
      <c r="F519" s="2" t="s">
        <v>3415</v>
      </c>
      <c r="G519" s="4">
        <v>0</v>
      </c>
      <c r="H519" s="2" t="s">
        <v>19</v>
      </c>
      <c r="I519" s="2" t="s">
        <v>319</v>
      </c>
      <c r="J519">
        <v>0</v>
      </c>
      <c r="K519">
        <v>0</v>
      </c>
      <c r="L519">
        <v>0</v>
      </c>
      <c r="M519">
        <v>0</v>
      </c>
      <c r="N519" s="5">
        <v>0</v>
      </c>
      <c r="O519">
        <v>0</v>
      </c>
    </row>
    <row r="520" spans="1:15" hidden="1" x14ac:dyDescent="0.25">
      <c r="A520" s="2" t="s">
        <v>3418</v>
      </c>
      <c r="B520" s="3">
        <v>44194</v>
      </c>
      <c r="C520" s="2" t="s">
        <v>3419</v>
      </c>
      <c r="D520" t="s">
        <v>6185</v>
      </c>
      <c r="E520" s="2">
        <v>5</v>
      </c>
      <c r="F520" s="2" t="s">
        <v>3420</v>
      </c>
      <c r="G520" s="4" t="s">
        <v>3421</v>
      </c>
      <c r="H520" s="2" t="s">
        <v>19</v>
      </c>
      <c r="I520" s="2" t="s">
        <v>356</v>
      </c>
      <c r="J520">
        <v>0</v>
      </c>
      <c r="K520">
        <v>0</v>
      </c>
      <c r="L520">
        <v>0</v>
      </c>
      <c r="M520">
        <v>0</v>
      </c>
      <c r="N520" s="5">
        <v>0</v>
      </c>
      <c r="O520">
        <v>0</v>
      </c>
    </row>
    <row r="521" spans="1:15" hidden="1" x14ac:dyDescent="0.25">
      <c r="A521" s="2" t="s">
        <v>3424</v>
      </c>
      <c r="B521" s="3">
        <v>44026</v>
      </c>
      <c r="C521" s="2" t="s">
        <v>3368</v>
      </c>
      <c r="D521" t="s">
        <v>6158</v>
      </c>
      <c r="E521" s="2">
        <v>2</v>
      </c>
      <c r="F521" s="2" t="s">
        <v>3426</v>
      </c>
      <c r="G521" s="4" t="s">
        <v>3427</v>
      </c>
      <c r="H521" s="2" t="s">
        <v>19</v>
      </c>
      <c r="I521" s="2" t="s">
        <v>63</v>
      </c>
      <c r="J521">
        <v>0</v>
      </c>
      <c r="K521">
        <v>0</v>
      </c>
      <c r="L521">
        <v>0</v>
      </c>
      <c r="M521">
        <v>0</v>
      </c>
      <c r="N521" s="5">
        <v>0</v>
      </c>
      <c r="O521">
        <v>0</v>
      </c>
    </row>
    <row r="522" spans="1:15" hidden="1" x14ac:dyDescent="0.25">
      <c r="A522" s="2" t="s">
        <v>3430</v>
      </c>
      <c r="B522" s="3">
        <v>44446</v>
      </c>
      <c r="C522" s="2" t="s">
        <v>3431</v>
      </c>
      <c r="D522" t="s">
        <v>6150</v>
      </c>
      <c r="E522" s="2">
        <v>1</v>
      </c>
      <c r="F522" s="2" t="s">
        <v>3432</v>
      </c>
      <c r="G522" s="4" t="s">
        <v>3433</v>
      </c>
      <c r="H522" s="2" t="s">
        <v>19</v>
      </c>
      <c r="I522" s="2" t="s">
        <v>69</v>
      </c>
      <c r="J522">
        <v>0</v>
      </c>
      <c r="K522">
        <v>0</v>
      </c>
      <c r="L522">
        <v>0</v>
      </c>
      <c r="M522">
        <v>0</v>
      </c>
      <c r="N522" s="5">
        <v>0</v>
      </c>
      <c r="O522">
        <v>0</v>
      </c>
    </row>
    <row r="523" spans="1:15" hidden="1" x14ac:dyDescent="0.25">
      <c r="A523" s="2" t="s">
        <v>3430</v>
      </c>
      <c r="B523" s="3">
        <v>44446</v>
      </c>
      <c r="C523" s="2" t="s">
        <v>3431</v>
      </c>
      <c r="D523" t="s">
        <v>6138</v>
      </c>
      <c r="E523" s="2">
        <v>4</v>
      </c>
      <c r="F523" s="2" t="s">
        <v>3437</v>
      </c>
      <c r="G523" s="4" t="s">
        <v>3438</v>
      </c>
      <c r="H523" s="2" t="s">
        <v>19</v>
      </c>
      <c r="I523" s="2" t="s">
        <v>77</v>
      </c>
      <c r="J523">
        <v>0</v>
      </c>
      <c r="K523">
        <v>0</v>
      </c>
      <c r="L523">
        <v>0</v>
      </c>
      <c r="M523">
        <v>0</v>
      </c>
      <c r="N523" s="5">
        <v>0</v>
      </c>
      <c r="O523">
        <v>0</v>
      </c>
    </row>
    <row r="524" spans="1:15" hidden="1" x14ac:dyDescent="0.25">
      <c r="A524" s="2" t="s">
        <v>3441</v>
      </c>
      <c r="B524" s="3">
        <v>43625</v>
      </c>
      <c r="C524" s="2" t="s">
        <v>3442</v>
      </c>
      <c r="D524" t="s">
        <v>6146</v>
      </c>
      <c r="E524" s="2">
        <v>5</v>
      </c>
      <c r="F524" s="2" t="s">
        <v>3443</v>
      </c>
      <c r="G524" s="4" t="s">
        <v>3444</v>
      </c>
      <c r="H524" s="2" t="s">
        <v>19</v>
      </c>
      <c r="I524" s="2" t="s">
        <v>148</v>
      </c>
      <c r="J524">
        <v>0</v>
      </c>
      <c r="K524">
        <v>0</v>
      </c>
      <c r="L524">
        <v>0</v>
      </c>
      <c r="M524">
        <v>0</v>
      </c>
      <c r="N524" s="5">
        <v>0</v>
      </c>
      <c r="O524">
        <v>0</v>
      </c>
    </row>
    <row r="525" spans="1:15" hidden="1" x14ac:dyDescent="0.25">
      <c r="A525" s="2" t="s">
        <v>3447</v>
      </c>
      <c r="B525" s="3">
        <v>44129</v>
      </c>
      <c r="C525" s="2" t="s">
        <v>3448</v>
      </c>
      <c r="D525" t="s">
        <v>6165</v>
      </c>
      <c r="E525" s="2">
        <v>1</v>
      </c>
      <c r="F525" s="2" t="s">
        <v>3449</v>
      </c>
      <c r="G525" s="4" t="s">
        <v>3450</v>
      </c>
      <c r="H525" s="2" t="s">
        <v>318</v>
      </c>
      <c r="I525" s="2" t="s">
        <v>426</v>
      </c>
      <c r="J525">
        <v>0</v>
      </c>
      <c r="K525">
        <v>0</v>
      </c>
      <c r="L525">
        <v>0</v>
      </c>
      <c r="M525">
        <v>0</v>
      </c>
      <c r="N525" s="5">
        <v>0</v>
      </c>
      <c r="O525">
        <v>0</v>
      </c>
    </row>
    <row r="526" spans="1:15" hidden="1" x14ac:dyDescent="0.25">
      <c r="A526" s="2" t="s">
        <v>3453</v>
      </c>
      <c r="B526" s="3">
        <v>44255</v>
      </c>
      <c r="C526" s="2" t="s">
        <v>3454</v>
      </c>
      <c r="D526" t="s">
        <v>6164</v>
      </c>
      <c r="E526" s="2">
        <v>2</v>
      </c>
      <c r="F526" s="2" t="s">
        <v>3455</v>
      </c>
      <c r="G526" s="4">
        <v>0</v>
      </c>
      <c r="H526" s="2" t="s">
        <v>19</v>
      </c>
      <c r="I526" s="2" t="s">
        <v>83</v>
      </c>
      <c r="J526">
        <v>0</v>
      </c>
      <c r="K526">
        <v>0</v>
      </c>
      <c r="L526">
        <v>0</v>
      </c>
      <c r="M526">
        <v>0</v>
      </c>
      <c r="N526" s="5">
        <v>0</v>
      </c>
      <c r="O526">
        <v>0</v>
      </c>
    </row>
    <row r="527" spans="1:15" hidden="1" x14ac:dyDescent="0.25">
      <c r="A527" s="2" t="s">
        <v>3458</v>
      </c>
      <c r="B527" s="3">
        <v>44038</v>
      </c>
      <c r="C527" s="2" t="s">
        <v>3459</v>
      </c>
      <c r="D527" t="s">
        <v>6163</v>
      </c>
      <c r="E527" s="2">
        <v>5</v>
      </c>
      <c r="F527" s="2" t="s">
        <v>3460</v>
      </c>
      <c r="G527" s="4">
        <v>0</v>
      </c>
      <c r="H527" s="2" t="s">
        <v>19</v>
      </c>
      <c r="I527" s="2" t="s">
        <v>21</v>
      </c>
      <c r="J527">
        <v>0</v>
      </c>
      <c r="K527">
        <v>0</v>
      </c>
      <c r="L527">
        <v>0</v>
      </c>
      <c r="M527">
        <v>0</v>
      </c>
      <c r="N527" s="5">
        <v>0</v>
      </c>
      <c r="O527">
        <v>0</v>
      </c>
    </row>
    <row r="528" spans="1:15" hidden="1" x14ac:dyDescent="0.25">
      <c r="A528" s="2" t="s">
        <v>3463</v>
      </c>
      <c r="B528" s="3">
        <v>44717</v>
      </c>
      <c r="C528" s="2" t="s">
        <v>3464</v>
      </c>
      <c r="D528" t="s">
        <v>6166</v>
      </c>
      <c r="E528" s="2">
        <v>4</v>
      </c>
      <c r="F528" s="2" t="s">
        <v>3465</v>
      </c>
      <c r="G528" s="4" t="s">
        <v>3466</v>
      </c>
      <c r="H528" s="2" t="s">
        <v>19</v>
      </c>
      <c r="I528" s="2" t="s">
        <v>105</v>
      </c>
      <c r="J528">
        <v>0</v>
      </c>
      <c r="K528">
        <v>0</v>
      </c>
      <c r="L528">
        <v>0</v>
      </c>
      <c r="M528">
        <v>0</v>
      </c>
      <c r="N528" s="5">
        <v>0</v>
      </c>
      <c r="O528">
        <v>0</v>
      </c>
    </row>
    <row r="529" spans="1:15" hidden="1" x14ac:dyDescent="0.25">
      <c r="A529" s="2" t="s">
        <v>3469</v>
      </c>
      <c r="B529" s="3">
        <v>43517</v>
      </c>
      <c r="C529" s="2" t="s">
        <v>3470</v>
      </c>
      <c r="D529" t="s">
        <v>6139</v>
      </c>
      <c r="E529" s="2">
        <v>5</v>
      </c>
      <c r="F529" s="2" t="s">
        <v>3471</v>
      </c>
      <c r="G529" s="4" t="s">
        <v>3472</v>
      </c>
      <c r="H529" s="2" t="s">
        <v>28</v>
      </c>
      <c r="I529" s="2" t="s">
        <v>151</v>
      </c>
      <c r="J529">
        <v>0</v>
      </c>
      <c r="K529">
        <v>0</v>
      </c>
      <c r="L529">
        <v>0</v>
      </c>
      <c r="M529">
        <v>0</v>
      </c>
      <c r="N529" s="5">
        <v>0</v>
      </c>
      <c r="O529">
        <v>0</v>
      </c>
    </row>
    <row r="530" spans="1:15" hidden="1" x14ac:dyDescent="0.25">
      <c r="A530" s="2" t="s">
        <v>3475</v>
      </c>
      <c r="B530" s="3">
        <v>43926</v>
      </c>
      <c r="C530" s="2" t="s">
        <v>3476</v>
      </c>
      <c r="D530" t="s">
        <v>6176</v>
      </c>
      <c r="E530" s="2">
        <v>6</v>
      </c>
      <c r="F530" s="2" t="s">
        <v>3477</v>
      </c>
      <c r="G530" s="4" t="s">
        <v>3478</v>
      </c>
      <c r="H530" s="2" t="s">
        <v>19</v>
      </c>
      <c r="I530" s="2" t="s">
        <v>96</v>
      </c>
      <c r="J530">
        <v>0</v>
      </c>
      <c r="K530">
        <v>0</v>
      </c>
      <c r="L530">
        <v>0</v>
      </c>
      <c r="M530">
        <v>0</v>
      </c>
      <c r="N530" s="5">
        <v>0</v>
      </c>
      <c r="O530">
        <v>0</v>
      </c>
    </row>
    <row r="531" spans="1:15" hidden="1" x14ac:dyDescent="0.25">
      <c r="A531" s="2" t="s">
        <v>3481</v>
      </c>
      <c r="B531" s="3">
        <v>43475</v>
      </c>
      <c r="C531" s="2" t="s">
        <v>3482</v>
      </c>
      <c r="D531" t="s">
        <v>6138</v>
      </c>
      <c r="E531" s="2">
        <v>6</v>
      </c>
      <c r="F531" s="2" t="s">
        <v>3483</v>
      </c>
      <c r="G531" s="4" t="s">
        <v>3484</v>
      </c>
      <c r="H531" s="2" t="s">
        <v>19</v>
      </c>
      <c r="I531" s="2" t="s">
        <v>38</v>
      </c>
      <c r="J531">
        <v>0</v>
      </c>
      <c r="K531">
        <v>0</v>
      </c>
      <c r="L531">
        <v>0</v>
      </c>
      <c r="M531">
        <v>0</v>
      </c>
      <c r="N531" s="5">
        <v>0</v>
      </c>
      <c r="O531">
        <v>0</v>
      </c>
    </row>
    <row r="532" spans="1:15" hidden="1" x14ac:dyDescent="0.25">
      <c r="A532" s="2" t="s">
        <v>3487</v>
      </c>
      <c r="B532" s="3">
        <v>44663</v>
      </c>
      <c r="C532" s="2" t="s">
        <v>3488</v>
      </c>
      <c r="D532" t="s">
        <v>6138</v>
      </c>
      <c r="E532" s="2">
        <v>6</v>
      </c>
      <c r="F532" s="2" t="s">
        <v>3489</v>
      </c>
      <c r="G532" s="4" t="s">
        <v>3490</v>
      </c>
      <c r="H532" s="2" t="s">
        <v>19</v>
      </c>
      <c r="I532" s="2" t="s">
        <v>260</v>
      </c>
      <c r="J532">
        <v>0</v>
      </c>
      <c r="K532">
        <v>0</v>
      </c>
      <c r="L532">
        <v>0</v>
      </c>
      <c r="M532">
        <v>0</v>
      </c>
      <c r="N532" s="5">
        <v>0</v>
      </c>
      <c r="O532">
        <v>0</v>
      </c>
    </row>
    <row r="533" spans="1:15" hidden="1" x14ac:dyDescent="0.25">
      <c r="A533" s="2" t="s">
        <v>3493</v>
      </c>
      <c r="B533" s="3">
        <v>44591</v>
      </c>
      <c r="C533" s="2" t="s">
        <v>3494</v>
      </c>
      <c r="D533" t="s">
        <v>6177</v>
      </c>
      <c r="E533" s="2">
        <v>5</v>
      </c>
      <c r="F533" s="2" t="s">
        <v>3495</v>
      </c>
      <c r="G533" s="4" t="s">
        <v>3496</v>
      </c>
      <c r="H533" s="2" t="s">
        <v>19</v>
      </c>
      <c r="I533" s="2" t="s">
        <v>26</v>
      </c>
      <c r="J533">
        <v>0</v>
      </c>
      <c r="K533">
        <v>0</v>
      </c>
      <c r="L533">
        <v>0</v>
      </c>
      <c r="M533">
        <v>0</v>
      </c>
      <c r="N533" s="5">
        <v>0</v>
      </c>
      <c r="O533">
        <v>0</v>
      </c>
    </row>
    <row r="534" spans="1:15" hidden="1" x14ac:dyDescent="0.25">
      <c r="A534" s="2" t="s">
        <v>3499</v>
      </c>
      <c r="B534" s="3">
        <v>44330</v>
      </c>
      <c r="C534" s="2" t="s">
        <v>3500</v>
      </c>
      <c r="D534" t="s">
        <v>6139</v>
      </c>
      <c r="E534" s="2">
        <v>2</v>
      </c>
      <c r="F534" s="2" t="s">
        <v>3501</v>
      </c>
      <c r="G534" s="4" t="s">
        <v>3502</v>
      </c>
      <c r="H534" s="2" t="s">
        <v>19</v>
      </c>
      <c r="I534" s="2" t="s">
        <v>413</v>
      </c>
      <c r="J534">
        <v>0</v>
      </c>
      <c r="K534">
        <v>0</v>
      </c>
      <c r="L534">
        <v>0</v>
      </c>
      <c r="M534">
        <v>0</v>
      </c>
      <c r="N534" s="5">
        <v>0</v>
      </c>
      <c r="O534">
        <v>0</v>
      </c>
    </row>
    <row r="535" spans="1:15" hidden="1" x14ac:dyDescent="0.25">
      <c r="A535" s="2" t="s">
        <v>3505</v>
      </c>
      <c r="B535" s="3">
        <v>44724</v>
      </c>
      <c r="C535" s="2" t="s">
        <v>3506</v>
      </c>
      <c r="D535" t="s">
        <v>6172</v>
      </c>
      <c r="E535" s="2">
        <v>4</v>
      </c>
      <c r="F535" s="2" t="s">
        <v>3507</v>
      </c>
      <c r="G535" s="4">
        <v>0</v>
      </c>
      <c r="H535" s="2" t="s">
        <v>19</v>
      </c>
      <c r="I535" s="2" t="s">
        <v>52</v>
      </c>
      <c r="J535">
        <v>0</v>
      </c>
      <c r="K535">
        <v>0</v>
      </c>
      <c r="L535">
        <v>0</v>
      </c>
      <c r="M535">
        <v>0</v>
      </c>
      <c r="N535" s="5">
        <v>0</v>
      </c>
      <c r="O535">
        <v>0</v>
      </c>
    </row>
    <row r="536" spans="1:15" hidden="1" x14ac:dyDescent="0.25">
      <c r="A536" s="2" t="s">
        <v>3510</v>
      </c>
      <c r="B536" s="3">
        <v>44563</v>
      </c>
      <c r="C536" s="2" t="s">
        <v>3511</v>
      </c>
      <c r="D536" t="s">
        <v>6151</v>
      </c>
      <c r="E536" s="2">
        <v>2</v>
      </c>
      <c r="F536" s="2" t="s">
        <v>3512</v>
      </c>
      <c r="G536" s="4" t="s">
        <v>3513</v>
      </c>
      <c r="H536" s="2" t="s">
        <v>318</v>
      </c>
      <c r="I536" s="2" t="s">
        <v>456</v>
      </c>
      <c r="J536">
        <v>0</v>
      </c>
      <c r="K536">
        <v>0</v>
      </c>
      <c r="L536">
        <v>0</v>
      </c>
      <c r="M536">
        <v>0</v>
      </c>
      <c r="N536" s="5">
        <v>0</v>
      </c>
      <c r="O536">
        <v>0</v>
      </c>
    </row>
    <row r="537" spans="1:15" hidden="1" x14ac:dyDescent="0.25">
      <c r="A537" s="2" t="s">
        <v>3516</v>
      </c>
      <c r="B537" s="3">
        <v>44585</v>
      </c>
      <c r="C537" s="2" t="s">
        <v>3517</v>
      </c>
      <c r="D537" t="s">
        <v>6145</v>
      </c>
      <c r="E537" s="2">
        <v>2</v>
      </c>
      <c r="F537" s="2" t="s">
        <v>3518</v>
      </c>
      <c r="G537" s="4">
        <v>0</v>
      </c>
      <c r="H537" s="2" t="s">
        <v>318</v>
      </c>
      <c r="I537" s="2" t="s">
        <v>1282</v>
      </c>
      <c r="J537">
        <v>0</v>
      </c>
      <c r="K537">
        <v>0</v>
      </c>
      <c r="L537">
        <v>0</v>
      </c>
      <c r="M537">
        <v>0</v>
      </c>
      <c r="N537" s="5">
        <v>0</v>
      </c>
      <c r="O537">
        <v>0</v>
      </c>
    </row>
    <row r="538" spans="1:15" hidden="1" x14ac:dyDescent="0.25">
      <c r="A538" s="2" t="s">
        <v>3521</v>
      </c>
      <c r="B538" s="3">
        <v>43544</v>
      </c>
      <c r="C538" s="2" t="s">
        <v>3368</v>
      </c>
      <c r="D538" t="s">
        <v>6163</v>
      </c>
      <c r="E538" s="2">
        <v>3</v>
      </c>
      <c r="F538" s="2" t="s">
        <v>3523</v>
      </c>
      <c r="G538" s="4" t="s">
        <v>3524</v>
      </c>
      <c r="H538" s="2" t="s">
        <v>19</v>
      </c>
      <c r="I538" s="2" t="s">
        <v>39</v>
      </c>
      <c r="J538">
        <v>0</v>
      </c>
      <c r="K538">
        <v>0</v>
      </c>
      <c r="L538">
        <v>0</v>
      </c>
      <c r="M538">
        <v>0</v>
      </c>
      <c r="N538" s="5">
        <v>0</v>
      </c>
      <c r="O538">
        <v>0</v>
      </c>
    </row>
    <row r="539" spans="1:15" hidden="1" x14ac:dyDescent="0.25">
      <c r="A539" s="2" t="s">
        <v>3527</v>
      </c>
      <c r="B539" s="3">
        <v>44156</v>
      </c>
      <c r="C539" s="2" t="s">
        <v>3528</v>
      </c>
      <c r="D539" t="s">
        <v>6185</v>
      </c>
      <c r="E539" s="2">
        <v>4</v>
      </c>
      <c r="F539" s="2" t="s">
        <v>3529</v>
      </c>
      <c r="G539" s="4" t="s">
        <v>3530</v>
      </c>
      <c r="H539" s="2" t="s">
        <v>19</v>
      </c>
      <c r="I539" s="2" t="s">
        <v>95</v>
      </c>
      <c r="J539">
        <v>0</v>
      </c>
      <c r="K539">
        <v>0</v>
      </c>
      <c r="L539">
        <v>0</v>
      </c>
      <c r="M539">
        <v>0</v>
      </c>
      <c r="N539" s="5">
        <v>0</v>
      </c>
      <c r="O539">
        <v>0</v>
      </c>
    </row>
    <row r="540" spans="1:15" hidden="1" x14ac:dyDescent="0.25">
      <c r="A540" s="2" t="s">
        <v>3532</v>
      </c>
      <c r="B540" s="3">
        <v>44482</v>
      </c>
      <c r="C540" s="2" t="s">
        <v>3533</v>
      </c>
      <c r="D540" t="s">
        <v>6163</v>
      </c>
      <c r="E540" s="2">
        <v>4</v>
      </c>
      <c r="F540" s="2" t="s">
        <v>3534</v>
      </c>
      <c r="G540" s="4" t="s">
        <v>3535</v>
      </c>
      <c r="H540" s="2" t="s">
        <v>19</v>
      </c>
      <c r="I540" s="2" t="s">
        <v>217</v>
      </c>
      <c r="J540">
        <v>0</v>
      </c>
      <c r="K540">
        <v>0</v>
      </c>
      <c r="L540">
        <v>0</v>
      </c>
      <c r="M540">
        <v>0</v>
      </c>
      <c r="N540" s="5">
        <v>0</v>
      </c>
      <c r="O540">
        <v>0</v>
      </c>
    </row>
    <row r="541" spans="1:15" hidden="1" x14ac:dyDescent="0.25">
      <c r="A541" s="2" t="s">
        <v>3537</v>
      </c>
      <c r="B541" s="3">
        <v>44488</v>
      </c>
      <c r="C541" s="2" t="s">
        <v>3538</v>
      </c>
      <c r="D541" t="s">
        <v>6172</v>
      </c>
      <c r="E541" s="2">
        <v>5</v>
      </c>
      <c r="F541" s="2" t="s">
        <v>3539</v>
      </c>
      <c r="G541" s="4" t="s">
        <v>3540</v>
      </c>
      <c r="H541" s="2" t="s">
        <v>19</v>
      </c>
      <c r="I541" s="2" t="s">
        <v>48</v>
      </c>
      <c r="J541">
        <v>0</v>
      </c>
      <c r="K541">
        <v>0</v>
      </c>
      <c r="L541">
        <v>0</v>
      </c>
      <c r="M541">
        <v>0</v>
      </c>
      <c r="N541" s="5">
        <v>0</v>
      </c>
      <c r="O541">
        <v>0</v>
      </c>
    </row>
    <row r="542" spans="1:15" hidden="1" x14ac:dyDescent="0.25">
      <c r="A542" s="2" t="s">
        <v>3542</v>
      </c>
      <c r="B542" s="3">
        <v>43584</v>
      </c>
      <c r="C542" s="2" t="s">
        <v>3543</v>
      </c>
      <c r="D542" t="s">
        <v>6170</v>
      </c>
      <c r="E542" s="2">
        <v>4</v>
      </c>
      <c r="F542" s="2" t="s">
        <v>3544</v>
      </c>
      <c r="G542" s="4" t="s">
        <v>3545</v>
      </c>
      <c r="H542" s="2" t="s">
        <v>19</v>
      </c>
      <c r="I542" s="2" t="s">
        <v>174</v>
      </c>
      <c r="J542">
        <v>0</v>
      </c>
      <c r="K542">
        <v>0</v>
      </c>
      <c r="L542">
        <v>0</v>
      </c>
      <c r="M542">
        <v>0</v>
      </c>
      <c r="N542" s="5">
        <v>0</v>
      </c>
      <c r="O542">
        <v>0</v>
      </c>
    </row>
    <row r="543" spans="1:15" hidden="1" x14ac:dyDescent="0.25">
      <c r="A543" s="2" t="s">
        <v>3548</v>
      </c>
      <c r="B543" s="3">
        <v>43750</v>
      </c>
      <c r="C543" s="2" t="s">
        <v>3549</v>
      </c>
      <c r="D543" t="s">
        <v>6168</v>
      </c>
      <c r="E543" s="2">
        <v>1</v>
      </c>
      <c r="F543" s="2" t="s">
        <v>3550</v>
      </c>
      <c r="G543" s="4">
        <v>0</v>
      </c>
      <c r="H543" s="2" t="s">
        <v>318</v>
      </c>
      <c r="I543" s="2" t="s">
        <v>443</v>
      </c>
      <c r="J543">
        <v>0</v>
      </c>
      <c r="K543">
        <v>0</v>
      </c>
      <c r="L543">
        <v>0</v>
      </c>
      <c r="M543">
        <v>0</v>
      </c>
      <c r="N543" s="5">
        <v>0</v>
      </c>
      <c r="O543">
        <v>0</v>
      </c>
    </row>
    <row r="544" spans="1:15" hidden="1" x14ac:dyDescent="0.25">
      <c r="A544" s="2" t="s">
        <v>3553</v>
      </c>
      <c r="B544" s="3">
        <v>44335</v>
      </c>
      <c r="C544" s="2" t="s">
        <v>3554</v>
      </c>
      <c r="D544" t="s">
        <v>6175</v>
      </c>
      <c r="E544" s="2">
        <v>4</v>
      </c>
      <c r="F544" s="2" t="s">
        <v>3555</v>
      </c>
      <c r="G544" s="4" t="s">
        <v>3556</v>
      </c>
      <c r="H544" s="2" t="s">
        <v>19</v>
      </c>
      <c r="I544" s="2" t="s">
        <v>175</v>
      </c>
      <c r="J544">
        <v>0</v>
      </c>
      <c r="K544">
        <v>0</v>
      </c>
      <c r="L544">
        <v>0</v>
      </c>
      <c r="M544">
        <v>0</v>
      </c>
      <c r="N544" s="5">
        <v>0</v>
      </c>
      <c r="O544">
        <v>0</v>
      </c>
    </row>
    <row r="545" spans="1:15" hidden="1" x14ac:dyDescent="0.25">
      <c r="A545" s="2" t="s">
        <v>3559</v>
      </c>
      <c r="B545" s="3">
        <v>44380</v>
      </c>
      <c r="C545" s="2" t="s">
        <v>3560</v>
      </c>
      <c r="D545" t="s">
        <v>6142</v>
      </c>
      <c r="E545" s="2">
        <v>2</v>
      </c>
      <c r="F545" s="2" t="s">
        <v>3561</v>
      </c>
      <c r="G545" s="4" t="s">
        <v>3562</v>
      </c>
      <c r="H545" s="2" t="s">
        <v>19</v>
      </c>
      <c r="I545" s="2" t="s">
        <v>98</v>
      </c>
      <c r="J545">
        <v>0</v>
      </c>
      <c r="K545">
        <v>0</v>
      </c>
      <c r="L545">
        <v>0</v>
      </c>
      <c r="M545">
        <v>0</v>
      </c>
      <c r="N545" s="5">
        <v>0</v>
      </c>
      <c r="O545">
        <v>0</v>
      </c>
    </row>
    <row r="546" spans="1:15" hidden="1" x14ac:dyDescent="0.25">
      <c r="A546" s="2" t="s">
        <v>3565</v>
      </c>
      <c r="B546" s="3">
        <v>43869</v>
      </c>
      <c r="C546" s="2" t="s">
        <v>3566</v>
      </c>
      <c r="D546" t="s">
        <v>6180</v>
      </c>
      <c r="E546" s="2">
        <v>2</v>
      </c>
      <c r="F546" s="2" t="s">
        <v>3567</v>
      </c>
      <c r="G546" s="4" t="s">
        <v>3568</v>
      </c>
      <c r="H546" s="2" t="s">
        <v>19</v>
      </c>
      <c r="I546" s="2" t="s">
        <v>46</v>
      </c>
      <c r="J546">
        <v>0</v>
      </c>
      <c r="K546">
        <v>0</v>
      </c>
      <c r="L546">
        <v>0</v>
      </c>
      <c r="M546">
        <v>0</v>
      </c>
      <c r="N546" s="5">
        <v>0</v>
      </c>
      <c r="O546">
        <v>0</v>
      </c>
    </row>
    <row r="547" spans="1:15" hidden="1" x14ac:dyDescent="0.25">
      <c r="A547" s="2" t="s">
        <v>3571</v>
      </c>
      <c r="B547" s="3">
        <v>44120</v>
      </c>
      <c r="C547" s="2" t="s">
        <v>3572</v>
      </c>
      <c r="D547" t="s">
        <v>6150</v>
      </c>
      <c r="E547" s="2">
        <v>4</v>
      </c>
      <c r="F547" s="2" t="s">
        <v>3573</v>
      </c>
      <c r="G547" s="4" t="s">
        <v>3574</v>
      </c>
      <c r="H547" s="2" t="s">
        <v>28</v>
      </c>
      <c r="I547" s="2" t="s">
        <v>176</v>
      </c>
      <c r="J547">
        <v>0</v>
      </c>
      <c r="K547">
        <v>0</v>
      </c>
      <c r="L547">
        <v>0</v>
      </c>
      <c r="M547">
        <v>0</v>
      </c>
      <c r="N547" s="5">
        <v>0</v>
      </c>
      <c r="O547">
        <v>0</v>
      </c>
    </row>
    <row r="548" spans="1:15" hidden="1" x14ac:dyDescent="0.25">
      <c r="A548" s="2" t="s">
        <v>3577</v>
      </c>
      <c r="B548" s="3">
        <v>44127</v>
      </c>
      <c r="C548" s="2" t="s">
        <v>3578</v>
      </c>
      <c r="D548" t="s">
        <v>6185</v>
      </c>
      <c r="E548" s="2">
        <v>3</v>
      </c>
      <c r="F548" s="2" t="s">
        <v>3579</v>
      </c>
      <c r="G548" s="4">
        <v>0</v>
      </c>
      <c r="H548" s="2" t="s">
        <v>318</v>
      </c>
      <c r="I548" s="2" t="s">
        <v>375</v>
      </c>
      <c r="J548">
        <v>0</v>
      </c>
      <c r="K548">
        <v>0</v>
      </c>
      <c r="L548">
        <v>0</v>
      </c>
      <c r="M548">
        <v>0</v>
      </c>
      <c r="N548" s="5">
        <v>0</v>
      </c>
      <c r="O548">
        <v>0</v>
      </c>
    </row>
    <row r="549" spans="1:15" hidden="1" x14ac:dyDescent="0.25">
      <c r="A549" s="2" t="s">
        <v>3582</v>
      </c>
      <c r="B549" s="3">
        <v>44265</v>
      </c>
      <c r="C549" s="2" t="s">
        <v>3594</v>
      </c>
      <c r="D549" t="s">
        <v>6178</v>
      </c>
      <c r="E549" s="2">
        <v>3</v>
      </c>
      <c r="F549" s="2" t="s">
        <v>3584</v>
      </c>
      <c r="G549" s="4">
        <v>0</v>
      </c>
      <c r="H549" s="2" t="s">
        <v>19</v>
      </c>
      <c r="I549" s="2" t="s">
        <v>20</v>
      </c>
      <c r="J549">
        <v>0</v>
      </c>
      <c r="K549">
        <v>0</v>
      </c>
      <c r="L549">
        <v>0</v>
      </c>
      <c r="M549">
        <v>0</v>
      </c>
      <c r="N549" s="5">
        <v>0</v>
      </c>
      <c r="O549">
        <v>0</v>
      </c>
    </row>
    <row r="550" spans="1:15" hidden="1" x14ac:dyDescent="0.25">
      <c r="A550" s="2" t="s">
        <v>3587</v>
      </c>
      <c r="B550" s="3">
        <v>44384</v>
      </c>
      <c r="C550" s="2" t="s">
        <v>3588</v>
      </c>
      <c r="D550" t="s">
        <v>6184</v>
      </c>
      <c r="E550" s="2">
        <v>3</v>
      </c>
      <c r="F550" s="2" t="s">
        <v>3589</v>
      </c>
      <c r="G550" s="4" t="s">
        <v>3590</v>
      </c>
      <c r="H550" s="2" t="s">
        <v>19</v>
      </c>
      <c r="I550" s="2" t="s">
        <v>77</v>
      </c>
      <c r="J550">
        <v>0</v>
      </c>
      <c r="K550">
        <v>0</v>
      </c>
      <c r="L550">
        <v>0</v>
      </c>
      <c r="M550">
        <v>0</v>
      </c>
      <c r="N550" s="5">
        <v>0</v>
      </c>
      <c r="O550">
        <v>0</v>
      </c>
    </row>
    <row r="551" spans="1:15" hidden="1" x14ac:dyDescent="0.25">
      <c r="A551" s="2" t="s">
        <v>3593</v>
      </c>
      <c r="B551" s="3">
        <v>44232</v>
      </c>
      <c r="C551" s="2" t="s">
        <v>3594</v>
      </c>
      <c r="D551" t="s">
        <v>6184</v>
      </c>
      <c r="E551" s="2">
        <v>4</v>
      </c>
      <c r="F551" s="2" t="s">
        <v>3595</v>
      </c>
      <c r="G551" s="4" t="s">
        <v>3596</v>
      </c>
      <c r="H551" s="2" t="s">
        <v>19</v>
      </c>
      <c r="I551" s="2" t="s">
        <v>57</v>
      </c>
      <c r="J551">
        <v>0</v>
      </c>
      <c r="K551">
        <v>0</v>
      </c>
      <c r="L551">
        <v>0</v>
      </c>
      <c r="M551">
        <v>0</v>
      </c>
      <c r="N551" s="5">
        <v>0</v>
      </c>
      <c r="O551">
        <v>0</v>
      </c>
    </row>
    <row r="552" spans="1:15" hidden="1" x14ac:dyDescent="0.25">
      <c r="A552" s="2" t="s">
        <v>3599</v>
      </c>
      <c r="B552" s="3">
        <v>44176</v>
      </c>
      <c r="C552" s="2" t="s">
        <v>3600</v>
      </c>
      <c r="D552" t="s">
        <v>6150</v>
      </c>
      <c r="E552" s="2">
        <v>6</v>
      </c>
      <c r="F552" s="2" t="s">
        <v>3601</v>
      </c>
      <c r="G552" s="4" t="s">
        <v>3602</v>
      </c>
      <c r="H552" s="2" t="s">
        <v>19</v>
      </c>
      <c r="I552" s="2" t="s">
        <v>199</v>
      </c>
      <c r="J552">
        <v>0</v>
      </c>
      <c r="K552">
        <v>0</v>
      </c>
      <c r="L552">
        <v>0</v>
      </c>
      <c r="M552">
        <v>0</v>
      </c>
      <c r="N552" s="5">
        <v>0</v>
      </c>
      <c r="O552">
        <v>0</v>
      </c>
    </row>
    <row r="553" spans="1:15" hidden="1" x14ac:dyDescent="0.25">
      <c r="A553" s="2" t="s">
        <v>3605</v>
      </c>
      <c r="B553" s="3">
        <v>44694</v>
      </c>
      <c r="C553" s="2" t="s">
        <v>3606</v>
      </c>
      <c r="D553" t="s">
        <v>6153</v>
      </c>
      <c r="E553" s="2">
        <v>2</v>
      </c>
      <c r="F553" s="2" t="s">
        <v>3607</v>
      </c>
      <c r="G553" s="4" t="s">
        <v>3608</v>
      </c>
      <c r="H553" s="2" t="s">
        <v>19</v>
      </c>
      <c r="I553" s="2" t="s">
        <v>18</v>
      </c>
      <c r="J553">
        <v>0</v>
      </c>
      <c r="K553">
        <v>0</v>
      </c>
      <c r="L553">
        <v>0</v>
      </c>
      <c r="M553">
        <v>0</v>
      </c>
      <c r="N553" s="5">
        <v>0</v>
      </c>
      <c r="O553">
        <v>0</v>
      </c>
    </row>
    <row r="554" spans="1:15" hidden="1" x14ac:dyDescent="0.25">
      <c r="A554" s="2" t="s">
        <v>3611</v>
      </c>
      <c r="B554" s="3">
        <v>43761</v>
      </c>
      <c r="C554" s="2" t="s">
        <v>3612</v>
      </c>
      <c r="D554" t="s">
        <v>6184</v>
      </c>
      <c r="E554" s="2">
        <v>4</v>
      </c>
      <c r="F554" s="2" t="s">
        <v>3613</v>
      </c>
      <c r="G554" s="4" t="s">
        <v>3614</v>
      </c>
      <c r="H554" s="2" t="s">
        <v>28</v>
      </c>
      <c r="I554" s="2" t="s">
        <v>365</v>
      </c>
      <c r="J554">
        <v>0</v>
      </c>
      <c r="K554">
        <v>0</v>
      </c>
      <c r="L554">
        <v>0</v>
      </c>
      <c r="M554">
        <v>0</v>
      </c>
      <c r="N554" s="5">
        <v>0</v>
      </c>
      <c r="O554">
        <v>0</v>
      </c>
    </row>
    <row r="555" spans="1:15" hidden="1" x14ac:dyDescent="0.25">
      <c r="A555" s="2" t="s">
        <v>3617</v>
      </c>
      <c r="B555" s="3">
        <v>44085</v>
      </c>
      <c r="C555" s="2" t="s">
        <v>3618</v>
      </c>
      <c r="D555" t="s">
        <v>6141</v>
      </c>
      <c r="E555" s="2">
        <v>5</v>
      </c>
      <c r="F555" s="2" t="s">
        <v>3619</v>
      </c>
      <c r="G555" s="4" t="s">
        <v>3620</v>
      </c>
      <c r="H555" s="2" t="s">
        <v>19</v>
      </c>
      <c r="I555" s="2" t="s">
        <v>260</v>
      </c>
      <c r="J555">
        <v>0</v>
      </c>
      <c r="K555">
        <v>0</v>
      </c>
      <c r="L555">
        <v>0</v>
      </c>
      <c r="M555">
        <v>0</v>
      </c>
      <c r="N555" s="5">
        <v>0</v>
      </c>
      <c r="O555">
        <v>0</v>
      </c>
    </row>
    <row r="556" spans="1:15" hidden="1" x14ac:dyDescent="0.25">
      <c r="A556" s="2" t="s">
        <v>3622</v>
      </c>
      <c r="B556" s="3">
        <v>43737</v>
      </c>
      <c r="C556" s="2" t="s">
        <v>3623</v>
      </c>
      <c r="D556" t="s">
        <v>6142</v>
      </c>
      <c r="E556" s="2">
        <v>2</v>
      </c>
      <c r="F556" s="2" t="s">
        <v>3624</v>
      </c>
      <c r="G556" s="4">
        <v>0</v>
      </c>
      <c r="H556" s="2" t="s">
        <v>28</v>
      </c>
      <c r="I556" s="2" t="s">
        <v>280</v>
      </c>
      <c r="J556">
        <v>0</v>
      </c>
      <c r="K556">
        <v>0</v>
      </c>
      <c r="L556">
        <v>0</v>
      </c>
      <c r="M556">
        <v>0</v>
      </c>
      <c r="N556" s="5">
        <v>0</v>
      </c>
      <c r="O556">
        <v>0</v>
      </c>
    </row>
    <row r="557" spans="1:15" hidden="1" x14ac:dyDescent="0.25">
      <c r="A557" s="2" t="s">
        <v>3627</v>
      </c>
      <c r="B557" s="3">
        <v>44258</v>
      </c>
      <c r="C557" s="2" t="s">
        <v>3628</v>
      </c>
      <c r="D557" t="s">
        <v>6141</v>
      </c>
      <c r="E557" s="2">
        <v>6</v>
      </c>
      <c r="F557" s="2" t="s">
        <v>3629</v>
      </c>
      <c r="G557" s="4" t="s">
        <v>3630</v>
      </c>
      <c r="H557" s="2" t="s">
        <v>318</v>
      </c>
      <c r="I557" s="2" t="s">
        <v>418</v>
      </c>
      <c r="J557">
        <v>0</v>
      </c>
      <c r="K557">
        <v>0</v>
      </c>
      <c r="L557">
        <v>0</v>
      </c>
      <c r="M557">
        <v>0</v>
      </c>
      <c r="N557" s="5">
        <v>0</v>
      </c>
      <c r="O557">
        <v>0</v>
      </c>
    </row>
    <row r="558" spans="1:15" hidden="1" x14ac:dyDescent="0.25">
      <c r="A558" s="2" t="s">
        <v>3633</v>
      </c>
      <c r="B558" s="3">
        <v>44523</v>
      </c>
      <c r="C558" s="2" t="s">
        <v>3634</v>
      </c>
      <c r="D558" t="s">
        <v>6159</v>
      </c>
      <c r="E558" s="2">
        <v>2</v>
      </c>
      <c r="F558" s="2" t="s">
        <v>3635</v>
      </c>
      <c r="G558" s="4" t="s">
        <v>3636</v>
      </c>
      <c r="H558" s="2" t="s">
        <v>19</v>
      </c>
      <c r="I558" s="2" t="s">
        <v>175</v>
      </c>
      <c r="J558">
        <v>0</v>
      </c>
      <c r="K558">
        <v>0</v>
      </c>
      <c r="L558">
        <v>0</v>
      </c>
      <c r="M558">
        <v>0</v>
      </c>
      <c r="N558" s="5">
        <v>0</v>
      </c>
      <c r="O558">
        <v>0</v>
      </c>
    </row>
    <row r="559" spans="1:15" hidden="1" x14ac:dyDescent="0.25">
      <c r="A559" s="2" t="s">
        <v>3638</v>
      </c>
      <c r="B559" s="3">
        <v>44506</v>
      </c>
      <c r="C559" s="2" t="s">
        <v>3368</v>
      </c>
      <c r="D559" t="s">
        <v>6171</v>
      </c>
      <c r="E559" s="2">
        <v>4</v>
      </c>
      <c r="F559" s="2" t="s">
        <v>3640</v>
      </c>
      <c r="G559" s="4">
        <v>0</v>
      </c>
      <c r="H559" s="2" t="s">
        <v>19</v>
      </c>
      <c r="I559" s="2" t="s">
        <v>80</v>
      </c>
      <c r="J559">
        <v>0</v>
      </c>
      <c r="K559">
        <v>0</v>
      </c>
      <c r="L559">
        <v>0</v>
      </c>
      <c r="M559">
        <v>0</v>
      </c>
      <c r="N559" s="5">
        <v>0</v>
      </c>
      <c r="O559">
        <v>0</v>
      </c>
    </row>
    <row r="560" spans="1:15" hidden="1" x14ac:dyDescent="0.25">
      <c r="A560" s="2" t="s">
        <v>3643</v>
      </c>
      <c r="B560" s="3">
        <v>44225</v>
      </c>
      <c r="C560" s="2" t="s">
        <v>3644</v>
      </c>
      <c r="D560" t="s">
        <v>6150</v>
      </c>
      <c r="E560" s="2">
        <v>4</v>
      </c>
      <c r="F560" s="2" t="s">
        <v>3645</v>
      </c>
      <c r="G560" s="4">
        <v>0</v>
      </c>
      <c r="H560" s="2" t="s">
        <v>19</v>
      </c>
      <c r="I560" s="2" t="s">
        <v>43</v>
      </c>
      <c r="J560">
        <v>0</v>
      </c>
      <c r="K560">
        <v>0</v>
      </c>
      <c r="L560">
        <v>0</v>
      </c>
      <c r="M560">
        <v>0</v>
      </c>
      <c r="N560" s="5">
        <v>0</v>
      </c>
      <c r="O560">
        <v>0</v>
      </c>
    </row>
    <row r="561" spans="1:15" hidden="1" x14ac:dyDescent="0.25">
      <c r="A561" s="2" t="s">
        <v>3648</v>
      </c>
      <c r="B561" s="3">
        <v>44667</v>
      </c>
      <c r="C561" s="2" t="s">
        <v>3649</v>
      </c>
      <c r="D561" t="s">
        <v>6140</v>
      </c>
      <c r="E561" s="2">
        <v>3</v>
      </c>
      <c r="F561" s="2" t="s">
        <v>3650</v>
      </c>
      <c r="G561" s="4" t="s">
        <v>3651</v>
      </c>
      <c r="H561" s="2" t="s">
        <v>19</v>
      </c>
      <c r="I561" s="2" t="s">
        <v>45</v>
      </c>
      <c r="J561">
        <v>0</v>
      </c>
      <c r="K561">
        <v>0</v>
      </c>
      <c r="L561">
        <v>0</v>
      </c>
      <c r="M561">
        <v>0</v>
      </c>
      <c r="N561" s="5">
        <v>0</v>
      </c>
      <c r="O561">
        <v>0</v>
      </c>
    </row>
    <row r="562" spans="1:15" hidden="1" x14ac:dyDescent="0.25">
      <c r="A562" s="2" t="s">
        <v>3654</v>
      </c>
      <c r="B562" s="3">
        <v>44401</v>
      </c>
      <c r="C562" s="2" t="s">
        <v>3655</v>
      </c>
      <c r="D562" t="s">
        <v>6166</v>
      </c>
      <c r="E562" s="2">
        <v>6</v>
      </c>
      <c r="F562" s="2" t="s">
        <v>3656</v>
      </c>
      <c r="G562" s="4">
        <v>0</v>
      </c>
      <c r="H562" s="2" t="s">
        <v>19</v>
      </c>
      <c r="I562" s="2" t="s">
        <v>240</v>
      </c>
      <c r="J562">
        <v>0</v>
      </c>
      <c r="K562">
        <v>0</v>
      </c>
      <c r="L562">
        <v>0</v>
      </c>
      <c r="M562">
        <v>0</v>
      </c>
      <c r="N562" s="5">
        <v>0</v>
      </c>
      <c r="O562">
        <v>0</v>
      </c>
    </row>
    <row r="563" spans="1:15" hidden="1" x14ac:dyDescent="0.25">
      <c r="A563" s="2" t="s">
        <v>3659</v>
      </c>
      <c r="B563" s="3">
        <v>43688</v>
      </c>
      <c r="C563" s="2" t="s">
        <v>3660</v>
      </c>
      <c r="D563" t="s">
        <v>6154</v>
      </c>
      <c r="E563" s="2">
        <v>6</v>
      </c>
      <c r="F563" s="2" t="s">
        <v>3661</v>
      </c>
      <c r="G563" s="4">
        <v>0</v>
      </c>
      <c r="H563" s="2" t="s">
        <v>318</v>
      </c>
      <c r="I563" s="2" t="s">
        <v>3664</v>
      </c>
      <c r="J563">
        <v>0</v>
      </c>
      <c r="K563">
        <v>0</v>
      </c>
      <c r="L563">
        <v>0</v>
      </c>
      <c r="M563">
        <v>0</v>
      </c>
      <c r="N563" s="5">
        <v>0</v>
      </c>
      <c r="O563">
        <v>0</v>
      </c>
    </row>
    <row r="564" spans="1:15" hidden="1" x14ac:dyDescent="0.25">
      <c r="A564" s="2" t="s">
        <v>3665</v>
      </c>
      <c r="B564" s="3">
        <v>43669</v>
      </c>
      <c r="C564" s="2" t="s">
        <v>3666</v>
      </c>
      <c r="D564" t="s">
        <v>6145</v>
      </c>
      <c r="E564" s="2">
        <v>6</v>
      </c>
      <c r="F564" s="2" t="s">
        <v>3667</v>
      </c>
      <c r="G564" s="4" t="s">
        <v>3668</v>
      </c>
      <c r="H564" s="2" t="s">
        <v>28</v>
      </c>
      <c r="I564" s="2" t="s">
        <v>159</v>
      </c>
      <c r="J564">
        <v>0</v>
      </c>
      <c r="K564">
        <v>0</v>
      </c>
      <c r="L564">
        <v>0</v>
      </c>
      <c r="M564">
        <v>0</v>
      </c>
      <c r="N564" s="5">
        <v>0</v>
      </c>
      <c r="O564">
        <v>0</v>
      </c>
    </row>
    <row r="565" spans="1:15" hidden="1" x14ac:dyDescent="0.25">
      <c r="A565" s="2" t="s">
        <v>3671</v>
      </c>
      <c r="B565" s="3">
        <v>43991</v>
      </c>
      <c r="C565" s="2" t="s">
        <v>3752</v>
      </c>
      <c r="D565" t="s">
        <v>6141</v>
      </c>
      <c r="E565" s="2">
        <v>6</v>
      </c>
      <c r="F565" s="2" t="s">
        <v>3673</v>
      </c>
      <c r="G565" s="4" t="s">
        <v>3674</v>
      </c>
      <c r="H565" s="2" t="s">
        <v>19</v>
      </c>
      <c r="I565" s="2" t="s">
        <v>84</v>
      </c>
      <c r="J565">
        <v>0</v>
      </c>
      <c r="K565">
        <v>0</v>
      </c>
      <c r="L565">
        <v>0</v>
      </c>
      <c r="M565">
        <v>0</v>
      </c>
      <c r="N565" s="5">
        <v>0</v>
      </c>
      <c r="O565">
        <v>0</v>
      </c>
    </row>
    <row r="566" spans="1:15" hidden="1" x14ac:dyDescent="0.25">
      <c r="A566" s="2" t="s">
        <v>3677</v>
      </c>
      <c r="B566" s="3">
        <v>43883</v>
      </c>
      <c r="C566" s="2" t="s">
        <v>3678</v>
      </c>
      <c r="D566" t="s">
        <v>6173</v>
      </c>
      <c r="E566" s="2">
        <v>2</v>
      </c>
      <c r="F566" s="2" t="s">
        <v>3679</v>
      </c>
      <c r="G566" s="4" t="s">
        <v>3680</v>
      </c>
      <c r="H566" s="2" t="s">
        <v>19</v>
      </c>
      <c r="I566" s="2" t="s">
        <v>49</v>
      </c>
      <c r="J566">
        <v>0</v>
      </c>
      <c r="K566">
        <v>0</v>
      </c>
      <c r="L566">
        <v>0</v>
      </c>
      <c r="M566">
        <v>0</v>
      </c>
      <c r="N566" s="5">
        <v>0</v>
      </c>
      <c r="O566">
        <v>0</v>
      </c>
    </row>
    <row r="567" spans="1:15" hidden="1" x14ac:dyDescent="0.25">
      <c r="A567" s="2" t="s">
        <v>3683</v>
      </c>
      <c r="B567" s="3">
        <v>44031</v>
      </c>
      <c r="C567" s="2" t="s">
        <v>3684</v>
      </c>
      <c r="D567" t="s">
        <v>6149</v>
      </c>
      <c r="E567" s="2">
        <v>4</v>
      </c>
      <c r="F567" s="2" t="s">
        <v>3685</v>
      </c>
      <c r="G567" s="4" t="s">
        <v>3686</v>
      </c>
      <c r="H567" s="2" t="s">
        <v>19</v>
      </c>
      <c r="I567" s="2" t="s">
        <v>67</v>
      </c>
      <c r="J567">
        <v>0</v>
      </c>
      <c r="K567">
        <v>0</v>
      </c>
      <c r="L567">
        <v>0</v>
      </c>
      <c r="M567">
        <v>0</v>
      </c>
      <c r="N567" s="5">
        <v>0</v>
      </c>
      <c r="O567">
        <v>0</v>
      </c>
    </row>
    <row r="568" spans="1:15" hidden="1" x14ac:dyDescent="0.25">
      <c r="A568" s="2" t="s">
        <v>3689</v>
      </c>
      <c r="B568" s="3">
        <v>44459</v>
      </c>
      <c r="C568" s="2" t="s">
        <v>3690</v>
      </c>
      <c r="D568" t="s">
        <v>6152</v>
      </c>
      <c r="E568" s="2">
        <v>6</v>
      </c>
      <c r="F568" s="2" t="s">
        <v>3691</v>
      </c>
      <c r="G568" s="4" t="s">
        <v>3692</v>
      </c>
      <c r="H568" s="2" t="s">
        <v>19</v>
      </c>
      <c r="I568" s="2" t="s">
        <v>271</v>
      </c>
      <c r="J568">
        <v>0</v>
      </c>
      <c r="K568">
        <v>0</v>
      </c>
      <c r="L568">
        <v>0</v>
      </c>
      <c r="M568">
        <v>0</v>
      </c>
      <c r="N568" s="5">
        <v>0</v>
      </c>
      <c r="O568">
        <v>0</v>
      </c>
    </row>
    <row r="569" spans="1:15" hidden="1" x14ac:dyDescent="0.25">
      <c r="A569" s="2" t="s">
        <v>3695</v>
      </c>
      <c r="B569" s="3">
        <v>44318</v>
      </c>
      <c r="C569" s="2" t="s">
        <v>3696</v>
      </c>
      <c r="D569" t="s">
        <v>6142</v>
      </c>
      <c r="E569" s="2">
        <v>6</v>
      </c>
      <c r="F569" s="2" t="s">
        <v>3697</v>
      </c>
      <c r="G569" s="4">
        <v>0</v>
      </c>
      <c r="H569" s="2" t="s">
        <v>318</v>
      </c>
      <c r="I569" s="2" t="s">
        <v>433</v>
      </c>
      <c r="J569">
        <v>0</v>
      </c>
      <c r="K569">
        <v>0</v>
      </c>
      <c r="L569">
        <v>0</v>
      </c>
      <c r="M569">
        <v>0</v>
      </c>
      <c r="N569" s="5">
        <v>0</v>
      </c>
      <c r="O569">
        <v>0</v>
      </c>
    </row>
    <row r="570" spans="1:15" hidden="1" x14ac:dyDescent="0.25">
      <c r="A570" s="2" t="s">
        <v>3700</v>
      </c>
      <c r="B570" s="3">
        <v>44526</v>
      </c>
      <c r="C570" s="2" t="s">
        <v>3701</v>
      </c>
      <c r="D570" t="s">
        <v>6145</v>
      </c>
      <c r="E570" s="2">
        <v>4</v>
      </c>
      <c r="F570" s="2" t="s">
        <v>3702</v>
      </c>
      <c r="G570" s="4" t="s">
        <v>3703</v>
      </c>
      <c r="H570" s="2" t="s">
        <v>19</v>
      </c>
      <c r="I570" s="2" t="s">
        <v>123</v>
      </c>
      <c r="J570">
        <v>0</v>
      </c>
      <c r="K570">
        <v>0</v>
      </c>
      <c r="L570">
        <v>0</v>
      </c>
      <c r="M570">
        <v>0</v>
      </c>
      <c r="N570" s="5">
        <v>0</v>
      </c>
      <c r="O570">
        <v>0</v>
      </c>
    </row>
    <row r="571" spans="1:15" hidden="1" x14ac:dyDescent="0.25">
      <c r="A571" s="2" t="s">
        <v>3706</v>
      </c>
      <c r="B571" s="3">
        <v>43879</v>
      </c>
      <c r="C571" s="2" t="s">
        <v>3752</v>
      </c>
      <c r="D571" t="s">
        <v>6168</v>
      </c>
      <c r="E571" s="2">
        <v>6</v>
      </c>
      <c r="F571" s="2" t="s">
        <v>3708</v>
      </c>
      <c r="G571" s="4" t="s">
        <v>3709</v>
      </c>
      <c r="H571" s="2" t="s">
        <v>19</v>
      </c>
      <c r="I571" s="2" t="s">
        <v>255</v>
      </c>
      <c r="J571">
        <v>0</v>
      </c>
      <c r="K571">
        <v>0</v>
      </c>
      <c r="L571">
        <v>0</v>
      </c>
      <c r="M571">
        <v>0</v>
      </c>
      <c r="N571" s="5">
        <v>0</v>
      </c>
      <c r="O571">
        <v>0</v>
      </c>
    </row>
    <row r="572" spans="1:15" hidden="1" x14ac:dyDescent="0.25">
      <c r="A572" s="2" t="s">
        <v>3712</v>
      </c>
      <c r="B572" s="3">
        <v>43928</v>
      </c>
      <c r="C572" s="2" t="s">
        <v>3713</v>
      </c>
      <c r="D572" t="s">
        <v>6157</v>
      </c>
      <c r="E572" s="2">
        <v>4</v>
      </c>
      <c r="F572" s="2" t="s">
        <v>3714</v>
      </c>
      <c r="G572" s="4" t="s">
        <v>3715</v>
      </c>
      <c r="H572" s="2" t="s">
        <v>19</v>
      </c>
      <c r="I572" s="2" t="s">
        <v>68</v>
      </c>
      <c r="J572">
        <v>0</v>
      </c>
      <c r="K572">
        <v>0</v>
      </c>
      <c r="L572">
        <v>0</v>
      </c>
      <c r="M572">
        <v>0</v>
      </c>
      <c r="N572" s="5">
        <v>0</v>
      </c>
      <c r="O572">
        <v>0</v>
      </c>
    </row>
    <row r="573" spans="1:15" hidden="1" x14ac:dyDescent="0.25">
      <c r="A573" s="2" t="s">
        <v>3718</v>
      </c>
      <c r="B573" s="3">
        <v>44592</v>
      </c>
      <c r="C573" s="2" t="s">
        <v>3719</v>
      </c>
      <c r="D573" t="s">
        <v>6176</v>
      </c>
      <c r="E573" s="2">
        <v>4</v>
      </c>
      <c r="F573" s="2" t="s">
        <v>3720</v>
      </c>
      <c r="G573" s="4" t="s">
        <v>3721</v>
      </c>
      <c r="H573" s="2" t="s">
        <v>28</v>
      </c>
      <c r="I573" s="2" t="s">
        <v>244</v>
      </c>
      <c r="J573">
        <v>0</v>
      </c>
      <c r="K573">
        <v>0</v>
      </c>
      <c r="L573">
        <v>0</v>
      </c>
      <c r="M573">
        <v>0</v>
      </c>
      <c r="N573" s="5">
        <v>0</v>
      </c>
      <c r="O573">
        <v>0</v>
      </c>
    </row>
    <row r="574" spans="1:15" hidden="1" x14ac:dyDescent="0.25">
      <c r="A574" s="2" t="s">
        <v>3724</v>
      </c>
      <c r="B574" s="3">
        <v>43515</v>
      </c>
      <c r="C574" s="2" t="s">
        <v>3725</v>
      </c>
      <c r="D574" t="s">
        <v>6154</v>
      </c>
      <c r="E574" s="2">
        <v>2</v>
      </c>
      <c r="F574" s="2" t="s">
        <v>3726</v>
      </c>
      <c r="G574" s="4">
        <v>0</v>
      </c>
      <c r="H574" s="2" t="s">
        <v>19</v>
      </c>
      <c r="I574" s="2" t="s">
        <v>87</v>
      </c>
      <c r="J574">
        <v>0</v>
      </c>
      <c r="K574">
        <v>0</v>
      </c>
      <c r="L574">
        <v>0</v>
      </c>
      <c r="M574">
        <v>0</v>
      </c>
      <c r="N574" s="5">
        <v>0</v>
      </c>
      <c r="O574">
        <v>0</v>
      </c>
    </row>
    <row r="575" spans="1:15" hidden="1" x14ac:dyDescent="0.25">
      <c r="A575" s="2" t="s">
        <v>3728</v>
      </c>
      <c r="B575" s="3">
        <v>43781</v>
      </c>
      <c r="C575" s="2" t="s">
        <v>3729</v>
      </c>
      <c r="D575" t="s">
        <v>6155</v>
      </c>
      <c r="E575" s="2">
        <v>6</v>
      </c>
      <c r="F575" s="2" t="s">
        <v>3730</v>
      </c>
      <c r="G575" s="4" t="s">
        <v>3731</v>
      </c>
      <c r="H575" s="2" t="s">
        <v>19</v>
      </c>
      <c r="I575" s="2" t="s">
        <v>175</v>
      </c>
      <c r="J575">
        <v>0</v>
      </c>
      <c r="K575">
        <v>0</v>
      </c>
      <c r="L575">
        <v>0</v>
      </c>
      <c r="M575">
        <v>0</v>
      </c>
      <c r="N575" s="5">
        <v>0</v>
      </c>
      <c r="O575">
        <v>0</v>
      </c>
    </row>
    <row r="576" spans="1:15" hidden="1" x14ac:dyDescent="0.25">
      <c r="A576" s="2" t="s">
        <v>3734</v>
      </c>
      <c r="B576" s="3">
        <v>44697</v>
      </c>
      <c r="C576" s="2" t="s">
        <v>3735</v>
      </c>
      <c r="D576" t="s">
        <v>6178</v>
      </c>
      <c r="E576" s="2">
        <v>6</v>
      </c>
      <c r="F576" s="2" t="s">
        <v>3736</v>
      </c>
      <c r="G576" s="4" t="s">
        <v>3737</v>
      </c>
      <c r="H576" s="2" t="s">
        <v>19</v>
      </c>
      <c r="I576" s="2" t="s">
        <v>250</v>
      </c>
      <c r="J576">
        <v>0</v>
      </c>
      <c r="K576">
        <v>0</v>
      </c>
      <c r="L576">
        <v>0</v>
      </c>
      <c r="M576">
        <v>0</v>
      </c>
      <c r="N576" s="5">
        <v>0</v>
      </c>
      <c r="O576">
        <v>0</v>
      </c>
    </row>
    <row r="577" spans="1:15" hidden="1" x14ac:dyDescent="0.25">
      <c r="A577" s="2" t="s">
        <v>3739</v>
      </c>
      <c r="B577" s="3">
        <v>44239</v>
      </c>
      <c r="C577" s="2" t="s">
        <v>3740</v>
      </c>
      <c r="D577" t="s">
        <v>6181</v>
      </c>
      <c r="E577" s="2">
        <v>2</v>
      </c>
      <c r="F577" s="2" t="s">
        <v>3741</v>
      </c>
      <c r="G577" s="4" t="s">
        <v>3742</v>
      </c>
      <c r="H577" s="2" t="s">
        <v>19</v>
      </c>
      <c r="I577" s="2" t="s">
        <v>27</v>
      </c>
      <c r="J577">
        <v>0</v>
      </c>
      <c r="K577">
        <v>0</v>
      </c>
      <c r="L577">
        <v>0</v>
      </c>
      <c r="M577">
        <v>0</v>
      </c>
      <c r="N577" s="5">
        <v>0</v>
      </c>
      <c r="O577">
        <v>0</v>
      </c>
    </row>
    <row r="578" spans="1:15" hidden="1" x14ac:dyDescent="0.25">
      <c r="A578" s="2" t="s">
        <v>3745</v>
      </c>
      <c r="B578" s="3">
        <v>44290</v>
      </c>
      <c r="C578" s="2" t="s">
        <v>3746</v>
      </c>
      <c r="D578" t="s">
        <v>6154</v>
      </c>
      <c r="E578" s="2">
        <v>6</v>
      </c>
      <c r="F578" s="2" t="s">
        <v>3747</v>
      </c>
      <c r="G578" s="4" t="s">
        <v>3748</v>
      </c>
      <c r="H578" s="2" t="s">
        <v>19</v>
      </c>
      <c r="I578" s="2" t="s">
        <v>31</v>
      </c>
      <c r="J578">
        <v>0</v>
      </c>
      <c r="K578">
        <v>0</v>
      </c>
      <c r="L578">
        <v>0</v>
      </c>
      <c r="M578">
        <v>0</v>
      </c>
      <c r="N578" s="5">
        <v>0</v>
      </c>
      <c r="O578">
        <v>0</v>
      </c>
    </row>
    <row r="579" spans="1:15" hidden="1" x14ac:dyDescent="0.25">
      <c r="A579" s="2" t="s">
        <v>3751</v>
      </c>
      <c r="B579" s="3">
        <v>44410</v>
      </c>
      <c r="C579" s="2" t="s">
        <v>3752</v>
      </c>
      <c r="D579" t="s">
        <v>6162</v>
      </c>
      <c r="E579" s="2">
        <v>4</v>
      </c>
      <c r="F579" s="2" t="s">
        <v>3753</v>
      </c>
      <c r="G579" s="4" t="s">
        <v>3754</v>
      </c>
      <c r="H579" s="2" t="s">
        <v>28</v>
      </c>
      <c r="I579" s="2" t="s">
        <v>180</v>
      </c>
      <c r="J579">
        <v>0</v>
      </c>
      <c r="K579">
        <v>0</v>
      </c>
      <c r="L579">
        <v>0</v>
      </c>
      <c r="M579">
        <v>0</v>
      </c>
      <c r="N579" s="5">
        <v>0</v>
      </c>
      <c r="O579">
        <v>0</v>
      </c>
    </row>
    <row r="580" spans="1:15" hidden="1" x14ac:dyDescent="0.25">
      <c r="A580" s="2" t="s">
        <v>3756</v>
      </c>
      <c r="B580" s="3">
        <v>44720</v>
      </c>
      <c r="C580" s="2" t="s">
        <v>3757</v>
      </c>
      <c r="D580" t="s">
        <v>6184</v>
      </c>
      <c r="E580" s="2">
        <v>3</v>
      </c>
      <c r="F580" s="2" t="s">
        <v>3758</v>
      </c>
      <c r="G580" s="4" t="s">
        <v>3759</v>
      </c>
      <c r="H580" s="2" t="s">
        <v>318</v>
      </c>
      <c r="I580" s="2" t="s">
        <v>414</v>
      </c>
      <c r="J580">
        <v>0</v>
      </c>
      <c r="K580">
        <v>0</v>
      </c>
      <c r="L580">
        <v>0</v>
      </c>
      <c r="M580">
        <v>0</v>
      </c>
      <c r="N580" s="5">
        <v>0</v>
      </c>
      <c r="O580">
        <v>0</v>
      </c>
    </row>
    <row r="581" spans="1:15" hidden="1" x14ac:dyDescent="0.25">
      <c r="A581" s="2" t="s">
        <v>3756</v>
      </c>
      <c r="B581" s="3">
        <v>44720</v>
      </c>
      <c r="C581" s="2" t="s">
        <v>3757</v>
      </c>
      <c r="D581" t="s">
        <v>6157</v>
      </c>
      <c r="E581" s="2">
        <v>5</v>
      </c>
      <c r="F581" s="2" t="s">
        <v>3763</v>
      </c>
      <c r="G581" s="4" t="s">
        <v>3764</v>
      </c>
      <c r="H581" s="2" t="s">
        <v>318</v>
      </c>
      <c r="I581" s="2" t="s">
        <v>3664</v>
      </c>
      <c r="J581">
        <v>0</v>
      </c>
      <c r="K581">
        <v>0</v>
      </c>
      <c r="L581">
        <v>0</v>
      </c>
      <c r="M581">
        <v>0</v>
      </c>
      <c r="N581" s="5">
        <v>0</v>
      </c>
      <c r="O581">
        <v>0</v>
      </c>
    </row>
    <row r="582" spans="1:15" hidden="1" x14ac:dyDescent="0.25">
      <c r="A582" s="2" t="s">
        <v>3767</v>
      </c>
      <c r="B582" s="3">
        <v>43965</v>
      </c>
      <c r="C582" s="2" t="s">
        <v>3768</v>
      </c>
      <c r="D582" t="s">
        <v>6171</v>
      </c>
      <c r="E582" s="2">
        <v>3</v>
      </c>
      <c r="F582" s="2" t="s">
        <v>3769</v>
      </c>
      <c r="G582" s="4" t="s">
        <v>3770</v>
      </c>
      <c r="H582" s="2" t="s">
        <v>19</v>
      </c>
      <c r="I582" s="2" t="s">
        <v>146</v>
      </c>
      <c r="J582">
        <v>0</v>
      </c>
      <c r="K582">
        <v>0</v>
      </c>
      <c r="L582">
        <v>0</v>
      </c>
      <c r="M582">
        <v>0</v>
      </c>
      <c r="N582" s="5">
        <v>0</v>
      </c>
      <c r="O582">
        <v>0</v>
      </c>
    </row>
    <row r="583" spans="1:15" hidden="1" x14ac:dyDescent="0.25">
      <c r="A583" s="2" t="s">
        <v>3773</v>
      </c>
      <c r="B583" s="3">
        <v>44190</v>
      </c>
      <c r="C583" s="2" t="s">
        <v>3774</v>
      </c>
      <c r="D583" t="s">
        <v>6176</v>
      </c>
      <c r="E583" s="2">
        <v>5</v>
      </c>
      <c r="F583" s="2" t="s">
        <v>3775</v>
      </c>
      <c r="G583" s="4" t="s">
        <v>3776</v>
      </c>
      <c r="H583" s="2" t="s">
        <v>28</v>
      </c>
      <c r="I583" s="2" t="s">
        <v>144</v>
      </c>
      <c r="J583">
        <v>0</v>
      </c>
      <c r="K583">
        <v>0</v>
      </c>
      <c r="L583">
        <v>0</v>
      </c>
      <c r="M583">
        <v>0</v>
      </c>
      <c r="N583" s="5">
        <v>0</v>
      </c>
      <c r="O583">
        <v>0</v>
      </c>
    </row>
    <row r="584" spans="1:15" hidden="1" x14ac:dyDescent="0.25">
      <c r="A584" s="2" t="s">
        <v>3778</v>
      </c>
      <c r="B584" s="3">
        <v>44382</v>
      </c>
      <c r="C584" s="2" t="s">
        <v>3779</v>
      </c>
      <c r="D584" t="s">
        <v>6183</v>
      </c>
      <c r="E584" s="2">
        <v>5</v>
      </c>
      <c r="F584" s="2" t="s">
        <v>3780</v>
      </c>
      <c r="G584" s="4" t="s">
        <v>3781</v>
      </c>
      <c r="H584" s="2" t="s">
        <v>19</v>
      </c>
      <c r="I584" s="2" t="s">
        <v>38</v>
      </c>
      <c r="J584">
        <v>0</v>
      </c>
      <c r="K584">
        <v>0</v>
      </c>
      <c r="L584">
        <v>0</v>
      </c>
      <c r="M584">
        <v>0</v>
      </c>
      <c r="N584" s="5">
        <v>0</v>
      </c>
      <c r="O584">
        <v>0</v>
      </c>
    </row>
    <row r="585" spans="1:15" hidden="1" x14ac:dyDescent="0.25">
      <c r="A585" s="2" t="s">
        <v>3784</v>
      </c>
      <c r="B585" s="3">
        <v>43538</v>
      </c>
      <c r="C585" s="2" t="s">
        <v>3785</v>
      </c>
      <c r="D585" t="s">
        <v>6178</v>
      </c>
      <c r="E585" s="2">
        <v>1</v>
      </c>
      <c r="F585" s="2" t="s">
        <v>3786</v>
      </c>
      <c r="G585" s="4" t="s">
        <v>3787</v>
      </c>
      <c r="H585" s="2" t="s">
        <v>19</v>
      </c>
      <c r="I585" s="2" t="s">
        <v>34</v>
      </c>
      <c r="J585">
        <v>0</v>
      </c>
      <c r="K585">
        <v>0</v>
      </c>
      <c r="L585">
        <v>0</v>
      </c>
      <c r="M585">
        <v>0</v>
      </c>
      <c r="N585" s="5">
        <v>0</v>
      </c>
      <c r="O585">
        <v>0</v>
      </c>
    </row>
    <row r="586" spans="1:15" hidden="1" x14ac:dyDescent="0.25">
      <c r="A586" s="2" t="s">
        <v>3790</v>
      </c>
      <c r="B586" s="3">
        <v>44262</v>
      </c>
      <c r="C586" s="2" t="s">
        <v>3791</v>
      </c>
      <c r="D586" t="s">
        <v>6178</v>
      </c>
      <c r="E586" s="2">
        <v>6</v>
      </c>
      <c r="F586" s="2" t="s">
        <v>3792</v>
      </c>
      <c r="G586" s="4" t="s">
        <v>3793</v>
      </c>
      <c r="H586" s="2" t="s">
        <v>19</v>
      </c>
      <c r="I586" s="2" t="s">
        <v>352</v>
      </c>
      <c r="J586">
        <v>0</v>
      </c>
      <c r="K586">
        <v>0</v>
      </c>
      <c r="L586">
        <v>0</v>
      </c>
      <c r="M586">
        <v>0</v>
      </c>
      <c r="N586" s="5">
        <v>0</v>
      </c>
      <c r="O586">
        <v>0</v>
      </c>
    </row>
    <row r="587" spans="1:15" hidden="1" x14ac:dyDescent="0.25">
      <c r="A587" s="2" t="s">
        <v>3796</v>
      </c>
      <c r="B587" s="3">
        <v>44505</v>
      </c>
      <c r="C587" s="2" t="s">
        <v>3840</v>
      </c>
      <c r="D587" t="s">
        <v>6139</v>
      </c>
      <c r="E587" s="2">
        <v>2</v>
      </c>
      <c r="F587" s="2" t="s">
        <v>3798</v>
      </c>
      <c r="G587" s="4" t="s">
        <v>3799</v>
      </c>
      <c r="H587" s="2" t="s">
        <v>318</v>
      </c>
      <c r="I587" s="2" t="s">
        <v>360</v>
      </c>
      <c r="J587">
        <v>0</v>
      </c>
      <c r="K587">
        <v>0</v>
      </c>
      <c r="L587">
        <v>0</v>
      </c>
      <c r="M587">
        <v>0</v>
      </c>
      <c r="N587" s="5">
        <v>0</v>
      </c>
      <c r="O587">
        <v>0</v>
      </c>
    </row>
    <row r="588" spans="1:15" hidden="1" x14ac:dyDescent="0.25">
      <c r="A588" s="2" t="s">
        <v>3802</v>
      </c>
      <c r="B588" s="3">
        <v>43867</v>
      </c>
      <c r="C588" s="2" t="s">
        <v>3803</v>
      </c>
      <c r="D588" t="s">
        <v>6142</v>
      </c>
      <c r="E588" s="2">
        <v>3</v>
      </c>
      <c r="F588" s="2" t="s">
        <v>3804</v>
      </c>
      <c r="G588" s="4">
        <v>0</v>
      </c>
      <c r="H588" s="2" t="s">
        <v>19</v>
      </c>
      <c r="I588" s="2" t="s">
        <v>173</v>
      </c>
      <c r="J588">
        <v>0</v>
      </c>
      <c r="K588">
        <v>0</v>
      </c>
      <c r="L588">
        <v>0</v>
      </c>
      <c r="M588">
        <v>0</v>
      </c>
      <c r="N588" s="5">
        <v>0</v>
      </c>
      <c r="O588">
        <v>0</v>
      </c>
    </row>
    <row r="589" spans="1:15" hidden="1" x14ac:dyDescent="0.25">
      <c r="A589" s="2" t="s">
        <v>3807</v>
      </c>
      <c r="B589" s="3">
        <v>44267</v>
      </c>
      <c r="C589" s="2" t="s">
        <v>3808</v>
      </c>
      <c r="D589" t="s">
        <v>6169</v>
      </c>
      <c r="E589" s="2">
        <v>1</v>
      </c>
      <c r="F589" s="2" t="s">
        <v>3809</v>
      </c>
      <c r="G589" s="4" t="s">
        <v>3810</v>
      </c>
      <c r="H589" s="2" t="s">
        <v>19</v>
      </c>
      <c r="I589" s="2" t="s">
        <v>223</v>
      </c>
      <c r="J589">
        <v>0</v>
      </c>
      <c r="K589">
        <v>0</v>
      </c>
      <c r="L589">
        <v>0</v>
      </c>
      <c r="M589">
        <v>0</v>
      </c>
      <c r="N589" s="5">
        <v>0</v>
      </c>
      <c r="O589">
        <v>0</v>
      </c>
    </row>
    <row r="590" spans="1:15" hidden="1" x14ac:dyDescent="0.25">
      <c r="A590" s="2" t="s">
        <v>3812</v>
      </c>
      <c r="B590" s="3">
        <v>44046</v>
      </c>
      <c r="C590" s="2" t="s">
        <v>3813</v>
      </c>
      <c r="D590" t="s">
        <v>6146</v>
      </c>
      <c r="E590" s="2">
        <v>2</v>
      </c>
      <c r="F590" s="2" t="s">
        <v>3814</v>
      </c>
      <c r="G590" s="4" t="s">
        <v>3815</v>
      </c>
      <c r="H590" s="2" t="s">
        <v>19</v>
      </c>
      <c r="I590" s="2" t="s">
        <v>50</v>
      </c>
      <c r="J590">
        <v>0</v>
      </c>
      <c r="K590">
        <v>0</v>
      </c>
      <c r="L590">
        <v>0</v>
      </c>
      <c r="M590">
        <v>0</v>
      </c>
      <c r="N590" s="5">
        <v>0</v>
      </c>
      <c r="O590">
        <v>0</v>
      </c>
    </row>
    <row r="591" spans="1:15" hidden="1" x14ac:dyDescent="0.25">
      <c r="A591" s="2" t="s">
        <v>3818</v>
      </c>
      <c r="B591" s="3">
        <v>43671</v>
      </c>
      <c r="C591" s="2" t="s">
        <v>3819</v>
      </c>
      <c r="D591" t="s">
        <v>6148</v>
      </c>
      <c r="E591" s="2">
        <v>6</v>
      </c>
      <c r="F591" s="2" t="s">
        <v>3820</v>
      </c>
      <c r="G591" s="4" t="s">
        <v>3821</v>
      </c>
      <c r="H591" s="2" t="s">
        <v>19</v>
      </c>
      <c r="I591" s="2" t="s">
        <v>62</v>
      </c>
      <c r="J591">
        <v>0</v>
      </c>
      <c r="K591">
        <v>0</v>
      </c>
      <c r="L591">
        <v>0</v>
      </c>
      <c r="M591">
        <v>0</v>
      </c>
      <c r="N591" s="5">
        <v>0</v>
      </c>
      <c r="O591">
        <v>0</v>
      </c>
    </row>
    <row r="592" spans="1:15" hidden="1" x14ac:dyDescent="0.25">
      <c r="A592" s="2" t="s">
        <v>3823</v>
      </c>
      <c r="B592" s="3">
        <v>43950</v>
      </c>
      <c r="C592" s="2" t="s">
        <v>3824</v>
      </c>
      <c r="D592" t="s">
        <v>6166</v>
      </c>
      <c r="E592" s="2">
        <v>2</v>
      </c>
      <c r="F592" s="2" t="s">
        <v>3825</v>
      </c>
      <c r="G592" s="4" t="s">
        <v>3826</v>
      </c>
      <c r="H592" s="2" t="s">
        <v>19</v>
      </c>
      <c r="I592" s="2" t="s">
        <v>161</v>
      </c>
      <c r="J592">
        <v>0</v>
      </c>
      <c r="K592">
        <v>0</v>
      </c>
      <c r="L592">
        <v>0</v>
      </c>
      <c r="M592">
        <v>0</v>
      </c>
      <c r="N592" s="5">
        <v>0</v>
      </c>
      <c r="O592">
        <v>0</v>
      </c>
    </row>
    <row r="593" spans="1:15" hidden="1" x14ac:dyDescent="0.25">
      <c r="A593" s="2" t="s">
        <v>3829</v>
      </c>
      <c r="B593" s="3">
        <v>43587</v>
      </c>
      <c r="C593" s="2" t="s">
        <v>3830</v>
      </c>
      <c r="D593" t="s">
        <v>6163</v>
      </c>
      <c r="E593" s="2">
        <v>3</v>
      </c>
      <c r="F593" s="2" t="s">
        <v>3831</v>
      </c>
      <c r="G593" s="4" t="s">
        <v>3832</v>
      </c>
      <c r="H593" s="2" t="s">
        <v>19</v>
      </c>
      <c r="I593" s="2" t="s">
        <v>25</v>
      </c>
      <c r="J593">
        <v>0</v>
      </c>
      <c r="K593">
        <v>0</v>
      </c>
      <c r="L593">
        <v>0</v>
      </c>
      <c r="M593">
        <v>0</v>
      </c>
      <c r="N593" s="5">
        <v>0</v>
      </c>
      <c r="O593">
        <v>0</v>
      </c>
    </row>
    <row r="594" spans="1:15" hidden="1" x14ac:dyDescent="0.25">
      <c r="A594" s="2" t="s">
        <v>3834</v>
      </c>
      <c r="B594" s="3">
        <v>44437</v>
      </c>
      <c r="C594" s="2" t="s">
        <v>3835</v>
      </c>
      <c r="D594" t="s">
        <v>6175</v>
      </c>
      <c r="E594" s="2">
        <v>2</v>
      </c>
      <c r="F594" s="2" t="s">
        <v>3836</v>
      </c>
      <c r="G594" s="4">
        <v>0</v>
      </c>
      <c r="H594" s="2" t="s">
        <v>19</v>
      </c>
      <c r="I594" s="2" t="s">
        <v>45</v>
      </c>
      <c r="J594">
        <v>0</v>
      </c>
      <c r="K594">
        <v>0</v>
      </c>
      <c r="L594">
        <v>0</v>
      </c>
      <c r="M594">
        <v>0</v>
      </c>
      <c r="N594" s="5">
        <v>0</v>
      </c>
      <c r="O594">
        <v>0</v>
      </c>
    </row>
    <row r="595" spans="1:15" hidden="1" x14ac:dyDescent="0.25">
      <c r="A595" s="2" t="s">
        <v>3839</v>
      </c>
      <c r="B595" s="3">
        <v>43903</v>
      </c>
      <c r="C595" s="2" t="s">
        <v>3840</v>
      </c>
      <c r="D595" t="s">
        <v>6185</v>
      </c>
      <c r="E595" s="2">
        <v>1</v>
      </c>
      <c r="F595" s="2" t="s">
        <v>3841</v>
      </c>
      <c r="G595" s="4" t="s">
        <v>3842</v>
      </c>
      <c r="H595" s="2" t="s">
        <v>28</v>
      </c>
      <c r="I595" s="2" t="s">
        <v>81</v>
      </c>
      <c r="J595">
        <v>0</v>
      </c>
      <c r="K595">
        <v>0</v>
      </c>
      <c r="L595">
        <v>0</v>
      </c>
      <c r="M595">
        <v>0</v>
      </c>
      <c r="N595" s="5">
        <v>0</v>
      </c>
      <c r="O595">
        <v>0</v>
      </c>
    </row>
    <row r="596" spans="1:15" hidden="1" x14ac:dyDescent="0.25">
      <c r="A596" s="2" t="s">
        <v>3844</v>
      </c>
      <c r="B596" s="3">
        <v>43512</v>
      </c>
      <c r="C596" s="2" t="s">
        <v>3845</v>
      </c>
      <c r="D596" t="s">
        <v>6182</v>
      </c>
      <c r="E596" s="2">
        <v>2</v>
      </c>
      <c r="F596" s="2" t="s">
        <v>3846</v>
      </c>
      <c r="G596" s="4" t="s">
        <v>3847</v>
      </c>
      <c r="H596" s="2" t="s">
        <v>19</v>
      </c>
      <c r="I596" s="2" t="s">
        <v>65</v>
      </c>
      <c r="J596">
        <v>0</v>
      </c>
      <c r="K596">
        <v>0</v>
      </c>
      <c r="L596">
        <v>0</v>
      </c>
      <c r="M596">
        <v>0</v>
      </c>
      <c r="N596" s="5">
        <v>0</v>
      </c>
      <c r="O596">
        <v>0</v>
      </c>
    </row>
    <row r="597" spans="1:15" hidden="1" x14ac:dyDescent="0.25">
      <c r="A597" s="2" t="s">
        <v>3850</v>
      </c>
      <c r="B597" s="3">
        <v>44527</v>
      </c>
      <c r="C597" s="2" t="s">
        <v>3851</v>
      </c>
      <c r="D597" t="s">
        <v>6171</v>
      </c>
      <c r="E597" s="2">
        <v>1</v>
      </c>
      <c r="F597" s="2" t="s">
        <v>3852</v>
      </c>
      <c r="G597" s="4">
        <v>0</v>
      </c>
      <c r="H597" s="2" t="s">
        <v>28</v>
      </c>
      <c r="I597" s="2" t="s">
        <v>307</v>
      </c>
      <c r="J597">
        <v>0</v>
      </c>
      <c r="K597">
        <v>0</v>
      </c>
      <c r="L597">
        <v>0</v>
      </c>
      <c r="M597">
        <v>0</v>
      </c>
      <c r="N597" s="5">
        <v>0</v>
      </c>
      <c r="O597">
        <v>0</v>
      </c>
    </row>
    <row r="598" spans="1:15" hidden="1" x14ac:dyDescent="0.25">
      <c r="A598" s="2" t="s">
        <v>3854</v>
      </c>
      <c r="B598" s="3">
        <v>44523</v>
      </c>
      <c r="C598" s="2" t="s">
        <v>3855</v>
      </c>
      <c r="D598" t="s">
        <v>6157</v>
      </c>
      <c r="E598" s="2">
        <v>5</v>
      </c>
      <c r="F598" s="2" t="s">
        <v>3856</v>
      </c>
      <c r="G598" s="4" t="s">
        <v>3857</v>
      </c>
      <c r="H598" s="2" t="s">
        <v>19</v>
      </c>
      <c r="I598" s="2" t="s">
        <v>39</v>
      </c>
      <c r="J598">
        <v>0</v>
      </c>
      <c r="K598">
        <v>0</v>
      </c>
      <c r="L598">
        <v>0</v>
      </c>
      <c r="M598">
        <v>0</v>
      </c>
      <c r="N598" s="5">
        <v>0</v>
      </c>
      <c r="O598">
        <v>0</v>
      </c>
    </row>
    <row r="599" spans="1:15" hidden="1" x14ac:dyDescent="0.25">
      <c r="A599" s="2" t="s">
        <v>3860</v>
      </c>
      <c r="B599" s="3">
        <v>44532</v>
      </c>
      <c r="C599" s="2" t="s">
        <v>3861</v>
      </c>
      <c r="D599" t="s">
        <v>6164</v>
      </c>
      <c r="E599" s="2">
        <v>4</v>
      </c>
      <c r="F599" s="2" t="s">
        <v>3862</v>
      </c>
      <c r="G599" s="4" t="s">
        <v>3863</v>
      </c>
      <c r="H599" s="2" t="s">
        <v>19</v>
      </c>
      <c r="I599" s="2" t="s">
        <v>87</v>
      </c>
      <c r="J599">
        <v>0</v>
      </c>
      <c r="K599">
        <v>0</v>
      </c>
      <c r="L599">
        <v>0</v>
      </c>
      <c r="M599">
        <v>0</v>
      </c>
      <c r="N599" s="5">
        <v>0</v>
      </c>
      <c r="O599">
        <v>0</v>
      </c>
    </row>
    <row r="600" spans="1:15" hidden="1" x14ac:dyDescent="0.25">
      <c r="A600" s="2" t="s">
        <v>3866</v>
      </c>
      <c r="B600" s="3">
        <v>43471</v>
      </c>
      <c r="C600" s="2" t="s">
        <v>3867</v>
      </c>
      <c r="D600" t="s">
        <v>6174</v>
      </c>
      <c r="E600" s="2">
        <v>4</v>
      </c>
      <c r="F600" s="2" t="s">
        <v>3868</v>
      </c>
      <c r="G600" s="4" t="s">
        <v>3869</v>
      </c>
      <c r="H600" s="2" t="s">
        <v>19</v>
      </c>
      <c r="I600" s="2" t="s">
        <v>150</v>
      </c>
      <c r="J600">
        <v>0</v>
      </c>
      <c r="K600">
        <v>0</v>
      </c>
      <c r="L600">
        <v>0</v>
      </c>
      <c r="M600">
        <v>0</v>
      </c>
      <c r="N600" s="5">
        <v>0</v>
      </c>
      <c r="O600">
        <v>0</v>
      </c>
    </row>
    <row r="601" spans="1:15" hidden="1" x14ac:dyDescent="0.25">
      <c r="A601" s="2" t="s">
        <v>3872</v>
      </c>
      <c r="B601" s="3">
        <v>44321</v>
      </c>
      <c r="C601" s="2" t="s">
        <v>3873</v>
      </c>
      <c r="D601" t="s">
        <v>6154</v>
      </c>
      <c r="E601" s="2">
        <v>4</v>
      </c>
      <c r="F601" s="2" t="s">
        <v>3874</v>
      </c>
      <c r="G601" s="4" t="s">
        <v>3875</v>
      </c>
      <c r="H601" s="2" t="s">
        <v>19</v>
      </c>
      <c r="I601" s="2" t="s">
        <v>175</v>
      </c>
      <c r="J601">
        <v>0</v>
      </c>
      <c r="K601">
        <v>0</v>
      </c>
      <c r="L601">
        <v>0</v>
      </c>
      <c r="M601">
        <v>0</v>
      </c>
      <c r="N601" s="5">
        <v>0</v>
      </c>
      <c r="O601">
        <v>0</v>
      </c>
    </row>
    <row r="602" spans="1:15" hidden="1" x14ac:dyDescent="0.25">
      <c r="A602" s="2" t="s">
        <v>3877</v>
      </c>
      <c r="B602" s="3">
        <v>44492</v>
      </c>
      <c r="C602" s="2" t="s">
        <v>3878</v>
      </c>
      <c r="D602" t="s">
        <v>6169</v>
      </c>
      <c r="E602" s="2">
        <v>1</v>
      </c>
      <c r="F602" s="2" t="s">
        <v>3879</v>
      </c>
      <c r="G602" s="4" t="s">
        <v>3880</v>
      </c>
      <c r="H602" s="2" t="s">
        <v>19</v>
      </c>
      <c r="I602" s="2" t="s">
        <v>46</v>
      </c>
      <c r="J602">
        <v>0</v>
      </c>
      <c r="K602">
        <v>0</v>
      </c>
      <c r="L602">
        <v>0</v>
      </c>
      <c r="M602">
        <v>0</v>
      </c>
      <c r="N602" s="5">
        <v>0</v>
      </c>
      <c r="O602">
        <v>0</v>
      </c>
    </row>
    <row r="603" spans="1:15" hidden="1" x14ac:dyDescent="0.25">
      <c r="A603" s="2" t="s">
        <v>3883</v>
      </c>
      <c r="B603" s="3">
        <v>43815</v>
      </c>
      <c r="C603" s="2" t="s">
        <v>3884</v>
      </c>
      <c r="D603" t="s">
        <v>6142</v>
      </c>
      <c r="E603" s="2">
        <v>4</v>
      </c>
      <c r="F603" s="2" t="s">
        <v>3885</v>
      </c>
      <c r="G603" s="4" t="s">
        <v>3886</v>
      </c>
      <c r="H603" s="2" t="s">
        <v>19</v>
      </c>
      <c r="I603" s="2" t="s">
        <v>269</v>
      </c>
      <c r="J603">
        <v>0</v>
      </c>
      <c r="K603">
        <v>0</v>
      </c>
      <c r="L603">
        <v>0</v>
      </c>
      <c r="M603">
        <v>0</v>
      </c>
      <c r="N603" s="5">
        <v>0</v>
      </c>
      <c r="O603">
        <v>0</v>
      </c>
    </row>
    <row r="604" spans="1:15" hidden="1" x14ac:dyDescent="0.25">
      <c r="A604" s="2" t="s">
        <v>3889</v>
      </c>
      <c r="B604" s="3">
        <v>43603</v>
      </c>
      <c r="C604" s="2" t="s">
        <v>3890</v>
      </c>
      <c r="D604" t="s">
        <v>6184</v>
      </c>
      <c r="E604" s="2">
        <v>5</v>
      </c>
      <c r="F604" s="2" t="s">
        <v>3891</v>
      </c>
      <c r="G604" s="4" t="s">
        <v>3892</v>
      </c>
      <c r="H604" s="2" t="s">
        <v>19</v>
      </c>
      <c r="I604" s="2" t="s">
        <v>260</v>
      </c>
      <c r="J604">
        <v>0</v>
      </c>
      <c r="K604">
        <v>0</v>
      </c>
      <c r="L604">
        <v>0</v>
      </c>
      <c r="M604">
        <v>0</v>
      </c>
      <c r="N604" s="5">
        <v>0</v>
      </c>
      <c r="O604">
        <v>0</v>
      </c>
    </row>
    <row r="605" spans="1:15" hidden="1" x14ac:dyDescent="0.25">
      <c r="A605" s="2" t="s">
        <v>3895</v>
      </c>
      <c r="B605" s="3">
        <v>43660</v>
      </c>
      <c r="C605" s="2" t="s">
        <v>3896</v>
      </c>
      <c r="D605" t="s">
        <v>6174</v>
      </c>
      <c r="E605" s="2">
        <v>3</v>
      </c>
      <c r="F605" s="2" t="s">
        <v>3897</v>
      </c>
      <c r="G605" s="4" t="s">
        <v>3898</v>
      </c>
      <c r="H605" s="2" t="s">
        <v>19</v>
      </c>
      <c r="I605" s="2" t="s">
        <v>78</v>
      </c>
      <c r="J605">
        <v>0</v>
      </c>
      <c r="K605">
        <v>0</v>
      </c>
      <c r="L605">
        <v>0</v>
      </c>
      <c r="M605">
        <v>0</v>
      </c>
      <c r="N605" s="5">
        <v>0</v>
      </c>
      <c r="O605">
        <v>0</v>
      </c>
    </row>
    <row r="606" spans="1:15" hidden="1" x14ac:dyDescent="0.25">
      <c r="A606" s="2" t="s">
        <v>3900</v>
      </c>
      <c r="B606" s="3">
        <v>44148</v>
      </c>
      <c r="C606" s="2" t="s">
        <v>3901</v>
      </c>
      <c r="D606" t="s">
        <v>6165</v>
      </c>
      <c r="E606" s="2">
        <v>4</v>
      </c>
      <c r="F606" s="2" t="s">
        <v>3902</v>
      </c>
      <c r="G606" s="4">
        <v>0</v>
      </c>
      <c r="H606" s="2" t="s">
        <v>318</v>
      </c>
      <c r="I606" s="2" t="s">
        <v>380</v>
      </c>
      <c r="J606">
        <v>0</v>
      </c>
      <c r="K606">
        <v>0</v>
      </c>
      <c r="L606">
        <v>0</v>
      </c>
      <c r="M606">
        <v>0</v>
      </c>
      <c r="N606" s="5">
        <v>0</v>
      </c>
      <c r="O606">
        <v>0</v>
      </c>
    </row>
    <row r="607" spans="1:15" hidden="1" x14ac:dyDescent="0.25">
      <c r="A607" s="2" t="s">
        <v>3905</v>
      </c>
      <c r="B607" s="3">
        <v>44028</v>
      </c>
      <c r="C607" s="2" t="s">
        <v>3906</v>
      </c>
      <c r="D607" t="s">
        <v>6182</v>
      </c>
      <c r="E607" s="2">
        <v>5</v>
      </c>
      <c r="F607" s="2" t="s">
        <v>3907</v>
      </c>
      <c r="G607" s="4" t="s">
        <v>3908</v>
      </c>
      <c r="H607" s="2" t="s">
        <v>19</v>
      </c>
      <c r="I607" s="2" t="s">
        <v>108</v>
      </c>
      <c r="J607">
        <v>0</v>
      </c>
      <c r="K607">
        <v>0</v>
      </c>
      <c r="L607">
        <v>0</v>
      </c>
      <c r="M607">
        <v>0</v>
      </c>
      <c r="N607" s="5">
        <v>0</v>
      </c>
      <c r="O607">
        <v>0</v>
      </c>
    </row>
    <row r="608" spans="1:15" hidden="1" x14ac:dyDescent="0.25">
      <c r="A608" s="2" t="s">
        <v>3911</v>
      </c>
      <c r="B608" s="3">
        <v>44138</v>
      </c>
      <c r="C608" s="2" t="s">
        <v>3840</v>
      </c>
      <c r="D608" t="s">
        <v>6164</v>
      </c>
      <c r="E608" s="2">
        <v>3</v>
      </c>
      <c r="F608" s="2" t="s">
        <v>3913</v>
      </c>
      <c r="G608" s="4" t="s">
        <v>3914</v>
      </c>
      <c r="H608" s="2" t="s">
        <v>19</v>
      </c>
      <c r="I608" s="2" t="s">
        <v>29</v>
      </c>
      <c r="J608">
        <v>0</v>
      </c>
      <c r="K608">
        <v>0</v>
      </c>
      <c r="L608">
        <v>0</v>
      </c>
      <c r="M608">
        <v>0</v>
      </c>
      <c r="N608" s="5">
        <v>0</v>
      </c>
      <c r="O608">
        <v>0</v>
      </c>
    </row>
    <row r="609" spans="1:15" hidden="1" x14ac:dyDescent="0.25">
      <c r="A609" s="2" t="s">
        <v>3917</v>
      </c>
      <c r="B609" s="3">
        <v>44640</v>
      </c>
      <c r="C609" s="2" t="s">
        <v>3918</v>
      </c>
      <c r="D609" t="s">
        <v>6153</v>
      </c>
      <c r="E609" s="2">
        <v>1</v>
      </c>
      <c r="F609" s="2" t="s">
        <v>3919</v>
      </c>
      <c r="G609" s="4" t="s">
        <v>3920</v>
      </c>
      <c r="H609" s="2" t="s">
        <v>19</v>
      </c>
      <c r="I609" s="2" t="s">
        <v>175</v>
      </c>
      <c r="J609">
        <v>0</v>
      </c>
      <c r="K609">
        <v>0</v>
      </c>
      <c r="L609">
        <v>0</v>
      </c>
      <c r="M609">
        <v>0</v>
      </c>
      <c r="N609" s="5">
        <v>0</v>
      </c>
      <c r="O609">
        <v>0</v>
      </c>
    </row>
    <row r="610" spans="1:15" hidden="1" x14ac:dyDescent="0.25">
      <c r="A610" s="2" t="s">
        <v>3923</v>
      </c>
      <c r="B610" s="3">
        <v>44608</v>
      </c>
      <c r="C610" s="2" t="s">
        <v>3924</v>
      </c>
      <c r="D610" t="s">
        <v>6185</v>
      </c>
      <c r="E610" s="2">
        <v>2</v>
      </c>
      <c r="F610" s="2" t="s">
        <v>3925</v>
      </c>
      <c r="G610" s="4">
        <v>0</v>
      </c>
      <c r="H610" s="2" t="s">
        <v>19</v>
      </c>
      <c r="I610" s="2" t="s">
        <v>255</v>
      </c>
      <c r="J610">
        <v>0</v>
      </c>
      <c r="K610">
        <v>0</v>
      </c>
      <c r="L610">
        <v>0</v>
      </c>
      <c r="M610">
        <v>0</v>
      </c>
      <c r="N610" s="5">
        <v>0</v>
      </c>
      <c r="O610">
        <v>0</v>
      </c>
    </row>
    <row r="611" spans="1:15" hidden="1" x14ac:dyDescent="0.25">
      <c r="A611" s="2" t="s">
        <v>3927</v>
      </c>
      <c r="B611" s="3">
        <v>44147</v>
      </c>
      <c r="C611" s="2" t="s">
        <v>3928</v>
      </c>
      <c r="D611" t="s">
        <v>6159</v>
      </c>
      <c r="E611" s="2">
        <v>6</v>
      </c>
      <c r="F611" s="2" t="s">
        <v>3929</v>
      </c>
      <c r="G611" s="4" t="s">
        <v>3930</v>
      </c>
      <c r="H611" s="2" t="s">
        <v>19</v>
      </c>
      <c r="I611" s="2" t="s">
        <v>45</v>
      </c>
      <c r="J611">
        <v>0</v>
      </c>
      <c r="K611">
        <v>0</v>
      </c>
      <c r="L611">
        <v>0</v>
      </c>
      <c r="M611">
        <v>0</v>
      </c>
      <c r="N611" s="5">
        <v>0</v>
      </c>
      <c r="O611">
        <v>0</v>
      </c>
    </row>
    <row r="612" spans="1:15" hidden="1" x14ac:dyDescent="0.25">
      <c r="A612" s="2" t="s">
        <v>3933</v>
      </c>
      <c r="B612" s="3">
        <v>43743</v>
      </c>
      <c r="C612" s="2" t="s">
        <v>3934</v>
      </c>
      <c r="D612" t="s">
        <v>6138</v>
      </c>
      <c r="E612" s="2">
        <v>4</v>
      </c>
      <c r="F612" s="2" t="s">
        <v>3935</v>
      </c>
      <c r="G612" s="4" t="s">
        <v>3936</v>
      </c>
      <c r="H612" s="2" t="s">
        <v>19</v>
      </c>
      <c r="I612" s="2" t="s">
        <v>271</v>
      </c>
      <c r="J612">
        <v>0</v>
      </c>
      <c r="K612">
        <v>0</v>
      </c>
      <c r="L612">
        <v>0</v>
      </c>
      <c r="M612">
        <v>0</v>
      </c>
      <c r="N612" s="5">
        <v>0</v>
      </c>
      <c r="O612">
        <v>0</v>
      </c>
    </row>
    <row r="613" spans="1:15" hidden="1" x14ac:dyDescent="0.25">
      <c r="A613" s="2" t="s">
        <v>3939</v>
      </c>
      <c r="B613" s="3">
        <v>43739</v>
      </c>
      <c r="C613" s="2" t="s">
        <v>3940</v>
      </c>
      <c r="D613" t="s">
        <v>6148</v>
      </c>
      <c r="E613" s="2">
        <v>2</v>
      </c>
      <c r="F613" s="2" t="s">
        <v>3941</v>
      </c>
      <c r="G613" s="4" t="s">
        <v>3942</v>
      </c>
      <c r="H613" s="2" t="s">
        <v>19</v>
      </c>
      <c r="I613" s="2" t="s">
        <v>175</v>
      </c>
      <c r="J613">
        <v>0</v>
      </c>
      <c r="K613">
        <v>0</v>
      </c>
      <c r="L613">
        <v>0</v>
      </c>
      <c r="M613">
        <v>0</v>
      </c>
      <c r="N613" s="5">
        <v>0</v>
      </c>
      <c r="O613">
        <v>0</v>
      </c>
    </row>
    <row r="614" spans="1:15" hidden="1" x14ac:dyDescent="0.25">
      <c r="A614" s="2" t="s">
        <v>3945</v>
      </c>
      <c r="B614" s="3">
        <v>43896</v>
      </c>
      <c r="C614" s="2" t="s">
        <v>3946</v>
      </c>
      <c r="D614" t="s">
        <v>6152</v>
      </c>
      <c r="E614" s="2">
        <v>4</v>
      </c>
      <c r="F614" s="2" t="s">
        <v>3947</v>
      </c>
      <c r="G614" s="4">
        <v>0</v>
      </c>
      <c r="H614" s="2" t="s">
        <v>318</v>
      </c>
      <c r="I614" s="2" t="s">
        <v>289</v>
      </c>
      <c r="J614">
        <v>0</v>
      </c>
      <c r="K614">
        <v>0</v>
      </c>
      <c r="L614">
        <v>0</v>
      </c>
      <c r="M614">
        <v>0</v>
      </c>
      <c r="N614" s="5">
        <v>0</v>
      </c>
      <c r="O614">
        <v>0</v>
      </c>
    </row>
    <row r="615" spans="1:15" hidden="1" x14ac:dyDescent="0.25">
      <c r="A615" s="2" t="s">
        <v>3950</v>
      </c>
      <c r="B615" s="3">
        <v>43761</v>
      </c>
      <c r="C615" s="2" t="s">
        <v>3951</v>
      </c>
      <c r="D615" t="s">
        <v>6146</v>
      </c>
      <c r="E615" s="2">
        <v>1</v>
      </c>
      <c r="F615" s="2" t="s">
        <v>3952</v>
      </c>
      <c r="G615" s="4">
        <v>0</v>
      </c>
      <c r="H615" s="2" t="s">
        <v>19</v>
      </c>
      <c r="I615" s="2" t="s">
        <v>131</v>
      </c>
      <c r="J615">
        <v>0</v>
      </c>
      <c r="K615">
        <v>0</v>
      </c>
      <c r="L615">
        <v>0</v>
      </c>
      <c r="M615">
        <v>0</v>
      </c>
      <c r="N615" s="5">
        <v>0</v>
      </c>
      <c r="O615">
        <v>0</v>
      </c>
    </row>
    <row r="616" spans="1:15" hidden="1" x14ac:dyDescent="0.25">
      <c r="A616" s="2" t="s">
        <v>3955</v>
      </c>
      <c r="B616" s="3">
        <v>43944</v>
      </c>
      <c r="C616" s="2" t="s">
        <v>3840</v>
      </c>
      <c r="D616" t="s">
        <v>6146</v>
      </c>
      <c r="E616" s="2">
        <v>5</v>
      </c>
      <c r="F616" s="2" t="s">
        <v>3957</v>
      </c>
      <c r="G616" s="4">
        <v>0</v>
      </c>
      <c r="H616" s="2" t="s">
        <v>19</v>
      </c>
      <c r="I616" s="2" t="s">
        <v>130</v>
      </c>
      <c r="J616">
        <v>0</v>
      </c>
      <c r="K616">
        <v>0</v>
      </c>
      <c r="L616">
        <v>0</v>
      </c>
      <c r="M616">
        <v>0</v>
      </c>
      <c r="N616" s="5">
        <v>0</v>
      </c>
      <c r="O616">
        <v>0</v>
      </c>
    </row>
    <row r="617" spans="1:15" hidden="1" x14ac:dyDescent="0.25">
      <c r="A617" s="2" t="s">
        <v>3960</v>
      </c>
      <c r="B617" s="3">
        <v>44006</v>
      </c>
      <c r="C617" s="2" t="s">
        <v>3961</v>
      </c>
      <c r="D617" t="s">
        <v>6164</v>
      </c>
      <c r="E617" s="2">
        <v>2</v>
      </c>
      <c r="F617" s="2" t="s">
        <v>3962</v>
      </c>
      <c r="G617" s="4" t="s">
        <v>3963</v>
      </c>
      <c r="H617" s="2" t="s">
        <v>19</v>
      </c>
      <c r="I617" s="2" t="s">
        <v>97</v>
      </c>
      <c r="J617">
        <v>0</v>
      </c>
      <c r="K617">
        <v>0</v>
      </c>
      <c r="L617">
        <v>0</v>
      </c>
      <c r="M617">
        <v>0</v>
      </c>
      <c r="N617" s="5">
        <v>0</v>
      </c>
      <c r="O617">
        <v>0</v>
      </c>
    </row>
    <row r="618" spans="1:15" hidden="1" x14ac:dyDescent="0.25">
      <c r="A618" s="2" t="s">
        <v>3966</v>
      </c>
      <c r="B618" s="3">
        <v>44271</v>
      </c>
      <c r="C618" s="2" t="s">
        <v>3967</v>
      </c>
      <c r="D618" t="s">
        <v>6166</v>
      </c>
      <c r="E618" s="2">
        <v>4</v>
      </c>
      <c r="F618" s="2" t="s">
        <v>3968</v>
      </c>
      <c r="G618" s="4" t="s">
        <v>3969</v>
      </c>
      <c r="H618" s="2" t="s">
        <v>28</v>
      </c>
      <c r="I618" s="2" t="s">
        <v>54</v>
      </c>
      <c r="J618">
        <v>0</v>
      </c>
      <c r="K618">
        <v>0</v>
      </c>
      <c r="L618">
        <v>0</v>
      </c>
      <c r="M618">
        <v>0</v>
      </c>
      <c r="N618" s="5">
        <v>0</v>
      </c>
      <c r="O618">
        <v>0</v>
      </c>
    </row>
    <row r="619" spans="1:15" hidden="1" x14ac:dyDescent="0.25">
      <c r="A619" s="2" t="s">
        <v>3972</v>
      </c>
      <c r="B619" s="3">
        <v>43928</v>
      </c>
      <c r="C619" s="2" t="s">
        <v>3973</v>
      </c>
      <c r="D619" t="s">
        <v>6181</v>
      </c>
      <c r="E619" s="2">
        <v>1</v>
      </c>
      <c r="F619" s="2" t="s">
        <v>3974</v>
      </c>
      <c r="G619" s="4" t="s">
        <v>3975</v>
      </c>
      <c r="H619" s="2" t="s">
        <v>19</v>
      </c>
      <c r="I619" s="2" t="s">
        <v>90</v>
      </c>
      <c r="J619">
        <v>0</v>
      </c>
      <c r="K619">
        <v>0</v>
      </c>
      <c r="L619">
        <v>0</v>
      </c>
      <c r="M619">
        <v>0</v>
      </c>
      <c r="N619" s="5">
        <v>0</v>
      </c>
      <c r="O619">
        <v>0</v>
      </c>
    </row>
    <row r="620" spans="1:15" hidden="1" x14ac:dyDescent="0.25">
      <c r="A620" s="2" t="s">
        <v>3978</v>
      </c>
      <c r="B620" s="3">
        <v>44469</v>
      </c>
      <c r="C620" s="2" t="s">
        <v>3979</v>
      </c>
      <c r="D620" t="s">
        <v>6183</v>
      </c>
      <c r="E620" s="2">
        <v>6</v>
      </c>
      <c r="F620" s="2" t="s">
        <v>3980</v>
      </c>
      <c r="G620" s="4" t="s">
        <v>3981</v>
      </c>
      <c r="H620" s="2" t="s">
        <v>19</v>
      </c>
      <c r="I620" s="2" t="s">
        <v>57</v>
      </c>
      <c r="J620">
        <v>0</v>
      </c>
      <c r="K620">
        <v>0</v>
      </c>
      <c r="L620">
        <v>0</v>
      </c>
      <c r="M620">
        <v>0</v>
      </c>
      <c r="N620" s="5">
        <v>0</v>
      </c>
      <c r="O620">
        <v>0</v>
      </c>
    </row>
    <row r="621" spans="1:15" hidden="1" x14ac:dyDescent="0.25">
      <c r="A621" s="2" t="s">
        <v>3984</v>
      </c>
      <c r="B621" s="3">
        <v>44682</v>
      </c>
      <c r="C621" s="2" t="s">
        <v>3985</v>
      </c>
      <c r="D621" t="s">
        <v>6169</v>
      </c>
      <c r="E621" s="2">
        <v>2</v>
      </c>
      <c r="F621" s="2" t="s">
        <v>3986</v>
      </c>
      <c r="G621" s="4" t="s">
        <v>3987</v>
      </c>
      <c r="H621" s="2" t="s">
        <v>19</v>
      </c>
      <c r="I621" s="2" t="s">
        <v>53</v>
      </c>
      <c r="J621">
        <v>0</v>
      </c>
      <c r="K621">
        <v>0</v>
      </c>
      <c r="L621">
        <v>0</v>
      </c>
      <c r="M621">
        <v>0</v>
      </c>
      <c r="N621" s="5">
        <v>0</v>
      </c>
      <c r="O621">
        <v>0</v>
      </c>
    </row>
    <row r="622" spans="1:15" hidden="1" x14ac:dyDescent="0.25">
      <c r="A622" s="2" t="s">
        <v>3990</v>
      </c>
      <c r="B622" s="3">
        <v>44217</v>
      </c>
      <c r="C622" s="2" t="s">
        <v>4042</v>
      </c>
      <c r="D622" t="s">
        <v>6152</v>
      </c>
      <c r="E622" s="2">
        <v>6</v>
      </c>
      <c r="F622" s="2" t="s">
        <v>3992</v>
      </c>
      <c r="G622" s="4" t="s">
        <v>3993</v>
      </c>
      <c r="H622" s="2" t="s">
        <v>318</v>
      </c>
      <c r="I622" s="2" t="s">
        <v>2998</v>
      </c>
      <c r="J622">
        <v>0</v>
      </c>
      <c r="K622">
        <v>0</v>
      </c>
      <c r="L622">
        <v>0</v>
      </c>
      <c r="M622">
        <v>0</v>
      </c>
      <c r="N622" s="5">
        <v>0</v>
      </c>
      <c r="O622">
        <v>0</v>
      </c>
    </row>
    <row r="623" spans="1:15" hidden="1" x14ac:dyDescent="0.25">
      <c r="A623" s="2" t="s">
        <v>3996</v>
      </c>
      <c r="B623" s="3">
        <v>44006</v>
      </c>
      <c r="C623" s="2" t="s">
        <v>3997</v>
      </c>
      <c r="D623" t="s">
        <v>6140</v>
      </c>
      <c r="E623" s="2">
        <v>6</v>
      </c>
      <c r="F623" s="2" t="s">
        <v>3998</v>
      </c>
      <c r="G623" s="4" t="s">
        <v>3999</v>
      </c>
      <c r="H623" s="2" t="s">
        <v>19</v>
      </c>
      <c r="I623" s="2" t="s">
        <v>189</v>
      </c>
      <c r="J623">
        <v>0</v>
      </c>
      <c r="K623">
        <v>0</v>
      </c>
      <c r="L623">
        <v>0</v>
      </c>
      <c r="M623">
        <v>0</v>
      </c>
      <c r="N623" s="5">
        <v>0</v>
      </c>
      <c r="O623">
        <v>0</v>
      </c>
    </row>
    <row r="624" spans="1:15" hidden="1" x14ac:dyDescent="0.25">
      <c r="A624" s="2" t="s">
        <v>4002</v>
      </c>
      <c r="B624" s="3">
        <v>43527</v>
      </c>
      <c r="C624" s="2" t="s">
        <v>4003</v>
      </c>
      <c r="D624" t="s">
        <v>6181</v>
      </c>
      <c r="E624" s="2">
        <v>4</v>
      </c>
      <c r="F624" s="2" t="s">
        <v>4004</v>
      </c>
      <c r="G624" s="4" t="s">
        <v>4005</v>
      </c>
      <c r="H624" s="2" t="s">
        <v>19</v>
      </c>
      <c r="I624" s="2" t="s">
        <v>107</v>
      </c>
      <c r="J624">
        <v>0</v>
      </c>
      <c r="K624">
        <v>0</v>
      </c>
      <c r="L624">
        <v>0</v>
      </c>
      <c r="M624">
        <v>0</v>
      </c>
      <c r="N624" s="5">
        <v>0</v>
      </c>
      <c r="O624">
        <v>0</v>
      </c>
    </row>
    <row r="625" spans="1:15" hidden="1" x14ac:dyDescent="0.25">
      <c r="A625" s="2" t="s">
        <v>4007</v>
      </c>
      <c r="B625" s="3">
        <v>44224</v>
      </c>
      <c r="C625" s="2" t="s">
        <v>4008</v>
      </c>
      <c r="D625" t="s">
        <v>6183</v>
      </c>
      <c r="E625" s="2">
        <v>1</v>
      </c>
      <c r="F625" s="2" t="s">
        <v>4009</v>
      </c>
      <c r="G625" s="4">
        <v>0</v>
      </c>
      <c r="H625" s="2" t="s">
        <v>28</v>
      </c>
      <c r="I625" s="2" t="s">
        <v>100</v>
      </c>
      <c r="J625">
        <v>0</v>
      </c>
      <c r="K625">
        <v>0</v>
      </c>
      <c r="L625">
        <v>0</v>
      </c>
      <c r="M625">
        <v>0</v>
      </c>
      <c r="N625" s="5">
        <v>0</v>
      </c>
      <c r="O625">
        <v>0</v>
      </c>
    </row>
    <row r="626" spans="1:15" hidden="1" x14ac:dyDescent="0.25">
      <c r="A626" s="2" t="s">
        <v>4012</v>
      </c>
      <c r="B626" s="3">
        <v>44010</v>
      </c>
      <c r="C626" s="2" t="s">
        <v>4013</v>
      </c>
      <c r="D626" t="s">
        <v>6166</v>
      </c>
      <c r="E626" s="2">
        <v>2</v>
      </c>
      <c r="F626" s="2" t="s">
        <v>4014</v>
      </c>
      <c r="G626" s="4" t="s">
        <v>4015</v>
      </c>
      <c r="H626" s="2" t="s">
        <v>318</v>
      </c>
      <c r="I626" s="2" t="s">
        <v>339</v>
      </c>
      <c r="J626">
        <v>0</v>
      </c>
      <c r="K626">
        <v>0</v>
      </c>
      <c r="L626">
        <v>0</v>
      </c>
      <c r="M626">
        <v>0</v>
      </c>
      <c r="N626" s="5">
        <v>0</v>
      </c>
      <c r="O626">
        <v>0</v>
      </c>
    </row>
    <row r="627" spans="1:15" hidden="1" x14ac:dyDescent="0.25">
      <c r="A627" s="2" t="s">
        <v>4017</v>
      </c>
      <c r="B627" s="3">
        <v>44017</v>
      </c>
      <c r="C627" s="2" t="s">
        <v>4018</v>
      </c>
      <c r="D627" t="s">
        <v>6173</v>
      </c>
      <c r="E627" s="2">
        <v>5</v>
      </c>
      <c r="F627" s="2" t="s">
        <v>4019</v>
      </c>
      <c r="G627" s="4" t="s">
        <v>4020</v>
      </c>
      <c r="H627" s="2" t="s">
        <v>19</v>
      </c>
      <c r="I627" s="2" t="s">
        <v>150</v>
      </c>
      <c r="J627">
        <v>0</v>
      </c>
      <c r="K627">
        <v>0</v>
      </c>
      <c r="L627">
        <v>0</v>
      </c>
      <c r="M627">
        <v>0</v>
      </c>
      <c r="N627" s="5">
        <v>0</v>
      </c>
      <c r="O627">
        <v>0</v>
      </c>
    </row>
    <row r="628" spans="1:15" hidden="1" x14ac:dyDescent="0.25">
      <c r="A628" s="2" t="s">
        <v>4023</v>
      </c>
      <c r="B628" s="3">
        <v>43526</v>
      </c>
      <c r="C628" s="2" t="s">
        <v>4024</v>
      </c>
      <c r="D628" t="s">
        <v>6175</v>
      </c>
      <c r="E628" s="2">
        <v>3</v>
      </c>
      <c r="F628" s="2" t="s">
        <v>4025</v>
      </c>
      <c r="G628" s="4" t="s">
        <v>4026</v>
      </c>
      <c r="H628" s="2" t="s">
        <v>19</v>
      </c>
      <c r="I628" s="2" t="s">
        <v>108</v>
      </c>
      <c r="J628">
        <v>0</v>
      </c>
      <c r="K628">
        <v>0</v>
      </c>
      <c r="L628">
        <v>0</v>
      </c>
      <c r="M628">
        <v>0</v>
      </c>
      <c r="N628" s="5">
        <v>0</v>
      </c>
      <c r="O628">
        <v>0</v>
      </c>
    </row>
    <row r="629" spans="1:15" hidden="1" x14ac:dyDescent="0.25">
      <c r="A629" s="2" t="s">
        <v>4029</v>
      </c>
      <c r="B629" s="3">
        <v>44682</v>
      </c>
      <c r="C629" s="2" t="s">
        <v>4030</v>
      </c>
      <c r="D629" t="s">
        <v>6166</v>
      </c>
      <c r="E629" s="2">
        <v>2</v>
      </c>
      <c r="F629" s="2" t="s">
        <v>4031</v>
      </c>
      <c r="G629" s="4" t="s">
        <v>4032</v>
      </c>
      <c r="H629" s="2" t="s">
        <v>19</v>
      </c>
      <c r="I629" s="2" t="s">
        <v>63</v>
      </c>
      <c r="J629">
        <v>0</v>
      </c>
      <c r="K629">
        <v>0</v>
      </c>
      <c r="L629">
        <v>0</v>
      </c>
      <c r="M629">
        <v>0</v>
      </c>
      <c r="N629" s="5">
        <v>0</v>
      </c>
      <c r="O629">
        <v>0</v>
      </c>
    </row>
    <row r="630" spans="1:15" hidden="1" x14ac:dyDescent="0.25">
      <c r="A630" s="2" t="s">
        <v>4035</v>
      </c>
      <c r="B630" s="3">
        <v>44680</v>
      </c>
      <c r="C630" s="2" t="s">
        <v>4036</v>
      </c>
      <c r="D630" t="s">
        <v>6184</v>
      </c>
      <c r="E630" s="2">
        <v>6</v>
      </c>
      <c r="F630" s="2" t="s">
        <v>4037</v>
      </c>
      <c r="G630" s="4" t="s">
        <v>4038</v>
      </c>
      <c r="H630" s="2" t="s">
        <v>318</v>
      </c>
      <c r="I630" s="2" t="s">
        <v>4041</v>
      </c>
      <c r="J630">
        <v>0</v>
      </c>
      <c r="K630">
        <v>0</v>
      </c>
      <c r="L630">
        <v>0</v>
      </c>
      <c r="M630">
        <v>0</v>
      </c>
      <c r="N630" s="5">
        <v>0</v>
      </c>
      <c r="O630">
        <v>0</v>
      </c>
    </row>
    <row r="631" spans="1:15" hidden="1" x14ac:dyDescent="0.25">
      <c r="A631" s="2" t="s">
        <v>4035</v>
      </c>
      <c r="B631" s="3">
        <v>44680</v>
      </c>
      <c r="C631" s="2" t="s">
        <v>4036</v>
      </c>
      <c r="D631" t="s">
        <v>6169</v>
      </c>
      <c r="E631" s="2">
        <v>4</v>
      </c>
      <c r="F631" s="2" t="s">
        <v>4043</v>
      </c>
      <c r="G631" s="4" t="s">
        <v>4044</v>
      </c>
      <c r="H631" s="2" t="s">
        <v>19</v>
      </c>
      <c r="I631" s="2" t="s">
        <v>271</v>
      </c>
      <c r="J631">
        <v>0</v>
      </c>
      <c r="K631">
        <v>0</v>
      </c>
      <c r="L631">
        <v>0</v>
      </c>
      <c r="M631">
        <v>0</v>
      </c>
      <c r="N631" s="5">
        <v>0</v>
      </c>
      <c r="O631">
        <v>0</v>
      </c>
    </row>
    <row r="632" spans="1:15" hidden="1" x14ac:dyDescent="0.25">
      <c r="A632" s="2" t="s">
        <v>4035</v>
      </c>
      <c r="B632" s="3">
        <v>44680</v>
      </c>
      <c r="C632" s="2" t="s">
        <v>4036</v>
      </c>
      <c r="D632" t="s">
        <v>6154</v>
      </c>
      <c r="E632" s="2">
        <v>1</v>
      </c>
      <c r="F632" s="2" t="s">
        <v>4047</v>
      </c>
      <c r="G632" s="4" t="s">
        <v>4048</v>
      </c>
      <c r="H632" s="2" t="s">
        <v>19</v>
      </c>
      <c r="I632" s="2" t="s">
        <v>190</v>
      </c>
      <c r="J632">
        <v>0</v>
      </c>
      <c r="K632">
        <v>0</v>
      </c>
      <c r="L632">
        <v>0</v>
      </c>
      <c r="M632">
        <v>0</v>
      </c>
      <c r="N632" s="5">
        <v>0</v>
      </c>
      <c r="O632">
        <v>0</v>
      </c>
    </row>
    <row r="633" spans="1:15" hidden="1" x14ac:dyDescent="0.25">
      <c r="A633" s="2" t="s">
        <v>4035</v>
      </c>
      <c r="B633" s="3">
        <v>44680</v>
      </c>
      <c r="C633" s="2" t="s">
        <v>4036</v>
      </c>
      <c r="D633" t="s">
        <v>6149</v>
      </c>
      <c r="E633" s="2">
        <v>5</v>
      </c>
      <c r="F633" s="2" t="s">
        <v>4052</v>
      </c>
      <c r="G633" s="4" t="s">
        <v>4053</v>
      </c>
      <c r="H633" s="2" t="s">
        <v>318</v>
      </c>
      <c r="I633" s="2" t="s">
        <v>488</v>
      </c>
      <c r="J633">
        <v>0</v>
      </c>
      <c r="K633">
        <v>0</v>
      </c>
      <c r="L633">
        <v>0</v>
      </c>
      <c r="M633">
        <v>0</v>
      </c>
      <c r="N633" s="5">
        <v>0</v>
      </c>
      <c r="O633">
        <v>0</v>
      </c>
    </row>
    <row r="634" spans="1:15" hidden="1" x14ac:dyDescent="0.25">
      <c r="A634" s="2" t="s">
        <v>4056</v>
      </c>
      <c r="B634" s="3">
        <v>44049</v>
      </c>
      <c r="C634" s="2" t="s">
        <v>4057</v>
      </c>
      <c r="D634" t="s">
        <v>6176</v>
      </c>
      <c r="E634" s="2">
        <v>4</v>
      </c>
      <c r="F634" s="2" t="s">
        <v>4058</v>
      </c>
      <c r="G634" s="4" t="s">
        <v>4059</v>
      </c>
      <c r="H634" s="2" t="s">
        <v>19</v>
      </c>
      <c r="I634" s="2" t="s">
        <v>27</v>
      </c>
      <c r="J634">
        <v>0</v>
      </c>
      <c r="K634">
        <v>0</v>
      </c>
      <c r="L634">
        <v>0</v>
      </c>
      <c r="M634">
        <v>0</v>
      </c>
      <c r="N634" s="5">
        <v>0</v>
      </c>
      <c r="O634">
        <v>0</v>
      </c>
    </row>
    <row r="635" spans="1:15" hidden="1" x14ac:dyDescent="0.25">
      <c r="A635" s="2" t="s">
        <v>4062</v>
      </c>
      <c r="B635" s="3">
        <v>43820</v>
      </c>
      <c r="C635" s="2" t="s">
        <v>4063</v>
      </c>
      <c r="D635" t="s">
        <v>6179</v>
      </c>
      <c r="E635" s="2">
        <v>4</v>
      </c>
      <c r="F635" s="2" t="s">
        <v>4064</v>
      </c>
      <c r="G635" s="4" t="s">
        <v>4065</v>
      </c>
      <c r="H635" s="2" t="s">
        <v>19</v>
      </c>
      <c r="I635" s="2" t="s">
        <v>202</v>
      </c>
      <c r="J635">
        <v>0</v>
      </c>
      <c r="K635">
        <v>0</v>
      </c>
      <c r="L635">
        <v>0</v>
      </c>
      <c r="M635">
        <v>0</v>
      </c>
      <c r="N635" s="5">
        <v>0</v>
      </c>
      <c r="O635">
        <v>0</v>
      </c>
    </row>
    <row r="636" spans="1:15" hidden="1" x14ac:dyDescent="0.25">
      <c r="A636" s="2" t="s">
        <v>4068</v>
      </c>
      <c r="B636" s="3">
        <v>43940</v>
      </c>
      <c r="C636" s="2" t="s">
        <v>4069</v>
      </c>
      <c r="D636" t="s">
        <v>6162</v>
      </c>
      <c r="E636" s="2">
        <v>3</v>
      </c>
      <c r="F636" s="2" t="s">
        <v>4070</v>
      </c>
      <c r="G636" s="4" t="s">
        <v>4071</v>
      </c>
      <c r="H636" s="2" t="s">
        <v>19</v>
      </c>
      <c r="I636" s="2" t="s">
        <v>190</v>
      </c>
      <c r="J636">
        <v>0</v>
      </c>
      <c r="K636">
        <v>0</v>
      </c>
      <c r="L636">
        <v>0</v>
      </c>
      <c r="M636">
        <v>0</v>
      </c>
      <c r="N636" s="5">
        <v>0</v>
      </c>
      <c r="O636">
        <v>0</v>
      </c>
    </row>
    <row r="637" spans="1:15" hidden="1" x14ac:dyDescent="0.25">
      <c r="A637" s="2" t="s">
        <v>4074</v>
      </c>
      <c r="B637" s="3">
        <v>44578</v>
      </c>
      <c r="C637" s="2" t="s">
        <v>4075</v>
      </c>
      <c r="D637" t="s">
        <v>6176</v>
      </c>
      <c r="E637" s="2">
        <v>4</v>
      </c>
      <c r="F637" s="2" t="s">
        <v>4076</v>
      </c>
      <c r="G637" s="4" t="s">
        <v>4077</v>
      </c>
      <c r="H637" s="2" t="s">
        <v>19</v>
      </c>
      <c r="I637" s="2" t="s">
        <v>37</v>
      </c>
      <c r="J637">
        <v>0</v>
      </c>
      <c r="K637">
        <v>0</v>
      </c>
      <c r="L637">
        <v>0</v>
      </c>
      <c r="M637">
        <v>0</v>
      </c>
      <c r="N637" s="5">
        <v>0</v>
      </c>
      <c r="O637">
        <v>0</v>
      </c>
    </row>
    <row r="638" spans="1:15" hidden="1" x14ac:dyDescent="0.25">
      <c r="A638" s="2" t="s">
        <v>4080</v>
      </c>
      <c r="B638" s="3">
        <v>43487</v>
      </c>
      <c r="C638" s="2" t="s">
        <v>4081</v>
      </c>
      <c r="D638" t="s">
        <v>6170</v>
      </c>
      <c r="E638" s="2">
        <v>6</v>
      </c>
      <c r="F638" s="2" t="s">
        <v>4082</v>
      </c>
      <c r="G638" s="4" t="s">
        <v>4083</v>
      </c>
      <c r="H638" s="2" t="s">
        <v>19</v>
      </c>
      <c r="I638" s="2" t="s">
        <v>88</v>
      </c>
      <c r="J638">
        <v>0</v>
      </c>
      <c r="K638">
        <v>0</v>
      </c>
      <c r="L638">
        <v>0</v>
      </c>
      <c r="M638">
        <v>0</v>
      </c>
      <c r="N638" s="5">
        <v>0</v>
      </c>
      <c r="O638">
        <v>0</v>
      </c>
    </row>
    <row r="639" spans="1:15" hidden="1" x14ac:dyDescent="0.25">
      <c r="A639" s="2" t="s">
        <v>4086</v>
      </c>
      <c r="B639" s="3">
        <v>43889</v>
      </c>
      <c r="C639" s="2" t="s">
        <v>4087</v>
      </c>
      <c r="D639" t="s">
        <v>6166</v>
      </c>
      <c r="E639" s="2">
        <v>1</v>
      </c>
      <c r="F639" s="2" t="s">
        <v>4088</v>
      </c>
      <c r="G639" s="4" t="s">
        <v>4089</v>
      </c>
      <c r="H639" s="2" t="s">
        <v>318</v>
      </c>
      <c r="I639" s="2" t="s">
        <v>4092</v>
      </c>
      <c r="J639">
        <v>0</v>
      </c>
      <c r="K639">
        <v>0</v>
      </c>
      <c r="L639">
        <v>0</v>
      </c>
      <c r="M639">
        <v>0</v>
      </c>
      <c r="N639" s="5">
        <v>0</v>
      </c>
      <c r="O639">
        <v>0</v>
      </c>
    </row>
    <row r="640" spans="1:15" hidden="1" x14ac:dyDescent="0.25">
      <c r="A640" s="2" t="s">
        <v>4093</v>
      </c>
      <c r="B640" s="3">
        <v>43684</v>
      </c>
      <c r="C640" s="2" t="s">
        <v>4094</v>
      </c>
      <c r="D640" t="s">
        <v>6175</v>
      </c>
      <c r="E640" s="2">
        <v>3</v>
      </c>
      <c r="F640" s="2" t="s">
        <v>4095</v>
      </c>
      <c r="G640" s="4">
        <v>0</v>
      </c>
      <c r="H640" s="2" t="s">
        <v>318</v>
      </c>
      <c r="I640" s="2" t="s">
        <v>3664</v>
      </c>
      <c r="J640">
        <v>0</v>
      </c>
      <c r="K640">
        <v>0</v>
      </c>
      <c r="L640">
        <v>0</v>
      </c>
      <c r="M640">
        <v>0</v>
      </c>
      <c r="N640" s="5">
        <v>0</v>
      </c>
      <c r="O640">
        <v>0</v>
      </c>
    </row>
    <row r="641" spans="1:15" hidden="1" x14ac:dyDescent="0.25">
      <c r="A641" s="2" t="s">
        <v>4098</v>
      </c>
      <c r="B641" s="3">
        <v>44331</v>
      </c>
      <c r="C641" s="2" t="s">
        <v>4099</v>
      </c>
      <c r="D641" t="s">
        <v>6150</v>
      </c>
      <c r="E641" s="2">
        <v>1</v>
      </c>
      <c r="F641" s="2" t="s">
        <v>4100</v>
      </c>
      <c r="G641" s="4" t="s">
        <v>4101</v>
      </c>
      <c r="H641" s="2" t="s">
        <v>19</v>
      </c>
      <c r="I641" s="2" t="s">
        <v>179</v>
      </c>
      <c r="J641">
        <v>0</v>
      </c>
      <c r="K641">
        <v>0</v>
      </c>
      <c r="L641">
        <v>0</v>
      </c>
      <c r="M641">
        <v>0</v>
      </c>
      <c r="N641" s="5">
        <v>0</v>
      </c>
      <c r="O641">
        <v>0</v>
      </c>
    </row>
    <row r="642" spans="1:15" hidden="1" x14ac:dyDescent="0.25">
      <c r="A642" s="2" t="s">
        <v>4104</v>
      </c>
      <c r="B642" s="3">
        <v>44547</v>
      </c>
      <c r="C642" s="2" t="s">
        <v>4152</v>
      </c>
      <c r="D642" t="s">
        <v>6142</v>
      </c>
      <c r="E642" s="2">
        <v>5</v>
      </c>
      <c r="F642" s="2" t="s">
        <v>4106</v>
      </c>
      <c r="G642" s="4">
        <v>0</v>
      </c>
      <c r="H642" s="2" t="s">
        <v>28</v>
      </c>
      <c r="I642" s="2" t="s">
        <v>280</v>
      </c>
      <c r="J642">
        <v>0</v>
      </c>
      <c r="K642">
        <v>0</v>
      </c>
      <c r="L642">
        <v>0</v>
      </c>
      <c r="M642">
        <v>0</v>
      </c>
      <c r="N642" s="5">
        <v>0</v>
      </c>
      <c r="O642">
        <v>0</v>
      </c>
    </row>
    <row r="643" spans="1:15" hidden="1" x14ac:dyDescent="0.25">
      <c r="A643" s="2" t="s">
        <v>4109</v>
      </c>
      <c r="B643" s="3">
        <v>44448</v>
      </c>
      <c r="C643" s="2" t="s">
        <v>4110</v>
      </c>
      <c r="D643" t="s">
        <v>6179</v>
      </c>
      <c r="E643" s="2">
        <v>3</v>
      </c>
      <c r="F643" s="2" t="s">
        <v>4111</v>
      </c>
      <c r="G643" s="4" t="s">
        <v>4112</v>
      </c>
      <c r="H643" s="2" t="s">
        <v>19</v>
      </c>
      <c r="I643" s="2" t="s">
        <v>108</v>
      </c>
      <c r="J643">
        <v>0</v>
      </c>
      <c r="K643">
        <v>0</v>
      </c>
      <c r="L643">
        <v>0</v>
      </c>
      <c r="M643">
        <v>0</v>
      </c>
      <c r="N643" s="5">
        <v>0</v>
      </c>
      <c r="O643">
        <v>0</v>
      </c>
    </row>
    <row r="644" spans="1:15" hidden="1" x14ac:dyDescent="0.25">
      <c r="A644" s="2" t="s">
        <v>4115</v>
      </c>
      <c r="B644" s="3">
        <v>43880</v>
      </c>
      <c r="C644" s="2" t="s">
        <v>4116</v>
      </c>
      <c r="D644" t="s">
        <v>6156</v>
      </c>
      <c r="E644" s="2">
        <v>2</v>
      </c>
      <c r="F644" s="2" t="s">
        <v>4117</v>
      </c>
      <c r="G644" s="4" t="s">
        <v>4118</v>
      </c>
      <c r="H644" s="2" t="s">
        <v>28</v>
      </c>
      <c r="I644" s="2" t="s">
        <v>4121</v>
      </c>
      <c r="J644">
        <v>0</v>
      </c>
      <c r="K644">
        <v>0</v>
      </c>
      <c r="L644">
        <v>0</v>
      </c>
      <c r="M644">
        <v>0</v>
      </c>
      <c r="N644" s="5">
        <v>0</v>
      </c>
      <c r="O644">
        <v>0</v>
      </c>
    </row>
    <row r="645" spans="1:15" hidden="1" x14ac:dyDescent="0.25">
      <c r="A645" s="2" t="s">
        <v>4123</v>
      </c>
      <c r="B645" s="3">
        <v>44011</v>
      </c>
      <c r="C645" s="2" t="s">
        <v>4124</v>
      </c>
      <c r="D645" t="s">
        <v>6148</v>
      </c>
      <c r="E645" s="2">
        <v>3</v>
      </c>
      <c r="F645" s="2" t="s">
        <v>4125</v>
      </c>
      <c r="G645" s="4" t="s">
        <v>4126</v>
      </c>
      <c r="H645" s="2" t="s">
        <v>19</v>
      </c>
      <c r="I645" s="2" t="s">
        <v>52</v>
      </c>
      <c r="J645">
        <v>0</v>
      </c>
      <c r="K645">
        <v>0</v>
      </c>
      <c r="L645">
        <v>0</v>
      </c>
      <c r="M645">
        <v>0</v>
      </c>
      <c r="N645" s="5">
        <v>0</v>
      </c>
      <c r="O645">
        <v>0</v>
      </c>
    </row>
    <row r="646" spans="1:15" hidden="1" x14ac:dyDescent="0.25">
      <c r="A646" s="2" t="s">
        <v>4128</v>
      </c>
      <c r="B646" s="3">
        <v>44694</v>
      </c>
      <c r="C646" s="2" t="s">
        <v>4129</v>
      </c>
      <c r="D646" t="s">
        <v>6149</v>
      </c>
      <c r="E646" s="2">
        <v>2</v>
      </c>
      <c r="F646" s="2" t="s">
        <v>4130</v>
      </c>
      <c r="G646" s="4">
        <v>0</v>
      </c>
      <c r="H646" s="2" t="s">
        <v>19</v>
      </c>
      <c r="I646" s="2" t="s">
        <v>92</v>
      </c>
      <c r="J646">
        <v>0</v>
      </c>
      <c r="K646">
        <v>0</v>
      </c>
      <c r="L646">
        <v>0</v>
      </c>
      <c r="M646">
        <v>0</v>
      </c>
      <c r="N646" s="5">
        <v>0</v>
      </c>
      <c r="O646">
        <v>0</v>
      </c>
    </row>
    <row r="647" spans="1:15" hidden="1" x14ac:dyDescent="0.25">
      <c r="A647" s="2" t="s">
        <v>4133</v>
      </c>
      <c r="B647" s="3">
        <v>44106</v>
      </c>
      <c r="C647" s="2" t="s">
        <v>4134</v>
      </c>
      <c r="D647" t="s">
        <v>6168</v>
      </c>
      <c r="E647" s="2">
        <v>3</v>
      </c>
      <c r="F647" s="2" t="s">
        <v>4135</v>
      </c>
      <c r="G647" s="4" t="s">
        <v>4136</v>
      </c>
      <c r="H647" s="2" t="s">
        <v>19</v>
      </c>
      <c r="I647" s="2" t="s">
        <v>467</v>
      </c>
      <c r="J647">
        <v>0</v>
      </c>
      <c r="K647">
        <v>0</v>
      </c>
      <c r="L647">
        <v>0</v>
      </c>
      <c r="M647">
        <v>0</v>
      </c>
      <c r="N647" s="5">
        <v>0</v>
      </c>
      <c r="O647">
        <v>0</v>
      </c>
    </row>
    <row r="648" spans="1:15" hidden="1" x14ac:dyDescent="0.25">
      <c r="A648" s="2" t="s">
        <v>4139</v>
      </c>
      <c r="B648" s="3">
        <v>44532</v>
      </c>
      <c r="C648" s="2" t="s">
        <v>4140</v>
      </c>
      <c r="D648" t="s">
        <v>6147</v>
      </c>
      <c r="E648" s="2">
        <v>1</v>
      </c>
      <c r="F648" s="2" t="s">
        <v>4141</v>
      </c>
      <c r="G648" s="4" t="s">
        <v>4142</v>
      </c>
      <c r="H648" s="2" t="s">
        <v>19</v>
      </c>
      <c r="I648" s="2" t="s">
        <v>198</v>
      </c>
      <c r="J648">
        <v>0</v>
      </c>
      <c r="K648">
        <v>0</v>
      </c>
      <c r="L648">
        <v>0</v>
      </c>
      <c r="M648">
        <v>0</v>
      </c>
      <c r="N648" s="5">
        <v>0</v>
      </c>
      <c r="O648">
        <v>0</v>
      </c>
    </row>
    <row r="649" spans="1:15" hidden="1" x14ac:dyDescent="0.25">
      <c r="A649" s="2" t="s">
        <v>4145</v>
      </c>
      <c r="B649" s="3">
        <v>44502</v>
      </c>
      <c r="C649" s="2" t="s">
        <v>4146</v>
      </c>
      <c r="D649" t="s">
        <v>6161</v>
      </c>
      <c r="E649" s="2">
        <v>3</v>
      </c>
      <c r="F649" s="2" t="s">
        <v>4147</v>
      </c>
      <c r="G649" s="4" t="s">
        <v>4148</v>
      </c>
      <c r="H649" s="2" t="s">
        <v>28</v>
      </c>
      <c r="I649" s="2" t="s">
        <v>279</v>
      </c>
      <c r="J649">
        <v>0</v>
      </c>
      <c r="K649">
        <v>0</v>
      </c>
      <c r="L649">
        <v>0</v>
      </c>
      <c r="M649">
        <v>0</v>
      </c>
      <c r="N649" s="5">
        <v>0</v>
      </c>
      <c r="O649">
        <v>0</v>
      </c>
    </row>
    <row r="650" spans="1:15" hidden="1" x14ac:dyDescent="0.25">
      <c r="A650" s="2" t="s">
        <v>4151</v>
      </c>
      <c r="B650" s="3">
        <v>43884</v>
      </c>
      <c r="C650" s="2" t="s">
        <v>4152</v>
      </c>
      <c r="D650" t="s">
        <v>6163</v>
      </c>
      <c r="E650" s="2">
        <v>6</v>
      </c>
      <c r="F650" s="2" t="s">
        <v>4153</v>
      </c>
      <c r="G650" s="4" t="s">
        <v>4154</v>
      </c>
      <c r="H650" s="2" t="s">
        <v>19</v>
      </c>
      <c r="I650" s="2" t="s">
        <v>39</v>
      </c>
      <c r="J650">
        <v>0</v>
      </c>
      <c r="K650">
        <v>0</v>
      </c>
      <c r="L650">
        <v>0</v>
      </c>
      <c r="M650">
        <v>0</v>
      </c>
      <c r="N650" s="5">
        <v>0</v>
      </c>
      <c r="O650">
        <v>0</v>
      </c>
    </row>
    <row r="651" spans="1:15" hidden="1" x14ac:dyDescent="0.25">
      <c r="A651" s="2" t="s">
        <v>4157</v>
      </c>
      <c r="B651" s="3">
        <v>44015</v>
      </c>
      <c r="C651" s="2" t="s">
        <v>4158</v>
      </c>
      <c r="D651" t="s">
        <v>6170</v>
      </c>
      <c r="E651" s="2">
        <v>6</v>
      </c>
      <c r="F651" s="2" t="s">
        <v>4159</v>
      </c>
      <c r="G651" s="4" t="s">
        <v>4160</v>
      </c>
      <c r="H651" s="2" t="s">
        <v>28</v>
      </c>
      <c r="I651" s="2" t="s">
        <v>354</v>
      </c>
      <c r="J651">
        <v>0</v>
      </c>
      <c r="K651">
        <v>0</v>
      </c>
      <c r="L651">
        <v>0</v>
      </c>
      <c r="M651">
        <v>0</v>
      </c>
      <c r="N651" s="5">
        <v>0</v>
      </c>
      <c r="O651">
        <v>0</v>
      </c>
    </row>
    <row r="652" spans="1:15" hidden="1" x14ac:dyDescent="0.25">
      <c r="A652" s="2" t="s">
        <v>4163</v>
      </c>
      <c r="B652" s="3">
        <v>43507</v>
      </c>
      <c r="C652" s="2" t="s">
        <v>4164</v>
      </c>
      <c r="D652" t="s">
        <v>6172</v>
      </c>
      <c r="E652" s="2">
        <v>1</v>
      </c>
      <c r="F652" s="2" t="s">
        <v>4165</v>
      </c>
      <c r="G652" s="4" t="s">
        <v>4166</v>
      </c>
      <c r="H652" s="2" t="s">
        <v>19</v>
      </c>
      <c r="I652" s="2" t="s">
        <v>153</v>
      </c>
      <c r="J652">
        <v>0</v>
      </c>
      <c r="K652">
        <v>0</v>
      </c>
      <c r="L652">
        <v>0</v>
      </c>
      <c r="M652">
        <v>0</v>
      </c>
      <c r="N652" s="5">
        <v>0</v>
      </c>
      <c r="O652">
        <v>0</v>
      </c>
    </row>
    <row r="653" spans="1:15" hidden="1" x14ac:dyDescent="0.25">
      <c r="A653" s="2" t="s">
        <v>4169</v>
      </c>
      <c r="B653" s="3">
        <v>44084</v>
      </c>
      <c r="C653" s="2" t="s">
        <v>4170</v>
      </c>
      <c r="D653" t="s">
        <v>6179</v>
      </c>
      <c r="E653" s="2">
        <v>4</v>
      </c>
      <c r="F653" s="2" t="s">
        <v>4171</v>
      </c>
      <c r="G653" s="4">
        <v>0</v>
      </c>
      <c r="H653" s="2" t="s">
        <v>19</v>
      </c>
      <c r="I653" s="2" t="s">
        <v>47</v>
      </c>
      <c r="J653">
        <v>0</v>
      </c>
      <c r="K653">
        <v>0</v>
      </c>
      <c r="L653">
        <v>0</v>
      </c>
      <c r="M653">
        <v>0</v>
      </c>
      <c r="N653" s="5">
        <v>0</v>
      </c>
      <c r="O653">
        <v>0</v>
      </c>
    </row>
    <row r="654" spans="1:15" hidden="1" x14ac:dyDescent="0.25">
      <c r="A654" s="2" t="s">
        <v>4174</v>
      </c>
      <c r="B654" s="3">
        <v>43892</v>
      </c>
      <c r="C654" s="2" t="s">
        <v>4175</v>
      </c>
      <c r="D654" t="s">
        <v>6170</v>
      </c>
      <c r="E654" s="2">
        <v>4</v>
      </c>
      <c r="F654" s="2" t="s">
        <v>4176</v>
      </c>
      <c r="G654" s="4" t="s">
        <v>4177</v>
      </c>
      <c r="H654" s="2" t="s">
        <v>318</v>
      </c>
      <c r="I654" s="2" t="s">
        <v>461</v>
      </c>
      <c r="J654">
        <v>0</v>
      </c>
      <c r="K654">
        <v>0</v>
      </c>
      <c r="L654">
        <v>0</v>
      </c>
      <c r="M654">
        <v>0</v>
      </c>
      <c r="N654" s="5">
        <v>0</v>
      </c>
      <c r="O654">
        <v>0</v>
      </c>
    </row>
    <row r="655" spans="1:15" hidden="1" x14ac:dyDescent="0.25">
      <c r="A655" s="2" t="s">
        <v>4179</v>
      </c>
      <c r="B655" s="3">
        <v>44375</v>
      </c>
      <c r="C655" s="2" t="s">
        <v>4180</v>
      </c>
      <c r="D655" t="s">
        <v>6175</v>
      </c>
      <c r="E655" s="2">
        <v>4</v>
      </c>
      <c r="F655" s="2" t="s">
        <v>4181</v>
      </c>
      <c r="G655" s="4" t="s">
        <v>4182</v>
      </c>
      <c r="H655" s="2" t="s">
        <v>19</v>
      </c>
      <c r="I655" s="2" t="s">
        <v>260</v>
      </c>
      <c r="J655">
        <v>0</v>
      </c>
      <c r="K655">
        <v>0</v>
      </c>
      <c r="L655">
        <v>0</v>
      </c>
      <c r="M655">
        <v>0</v>
      </c>
      <c r="N655" s="5">
        <v>0</v>
      </c>
      <c r="O655">
        <v>0</v>
      </c>
    </row>
    <row r="656" spans="1:15" hidden="1" x14ac:dyDescent="0.25">
      <c r="A656" s="2" t="s">
        <v>4185</v>
      </c>
      <c r="B656" s="3">
        <v>43476</v>
      </c>
      <c r="C656" s="2" t="s">
        <v>4186</v>
      </c>
      <c r="D656" t="s">
        <v>6168</v>
      </c>
      <c r="E656" s="2">
        <v>3</v>
      </c>
      <c r="F656" s="2" t="s">
        <v>4187</v>
      </c>
      <c r="G656" s="4" t="s">
        <v>4188</v>
      </c>
      <c r="H656" s="2" t="s">
        <v>19</v>
      </c>
      <c r="I656" s="2" t="s">
        <v>47</v>
      </c>
      <c r="J656">
        <v>0</v>
      </c>
      <c r="K656">
        <v>0</v>
      </c>
      <c r="L656">
        <v>0</v>
      </c>
      <c r="M656">
        <v>0</v>
      </c>
      <c r="N656" s="5">
        <v>0</v>
      </c>
      <c r="O656">
        <v>0</v>
      </c>
    </row>
    <row r="657" spans="1:15" hidden="1" x14ac:dyDescent="0.25">
      <c r="A657" s="2" t="s">
        <v>4191</v>
      </c>
      <c r="B657" s="3">
        <v>43728</v>
      </c>
      <c r="C657" s="2" t="s">
        <v>4192</v>
      </c>
      <c r="D657" t="s">
        <v>6151</v>
      </c>
      <c r="E657" s="2">
        <v>2</v>
      </c>
      <c r="F657" s="2" t="s">
        <v>4193</v>
      </c>
      <c r="G657" s="4" t="s">
        <v>4194</v>
      </c>
      <c r="H657" s="2" t="s">
        <v>19</v>
      </c>
      <c r="I657" s="2" t="s">
        <v>186</v>
      </c>
      <c r="J657">
        <v>0</v>
      </c>
      <c r="K657">
        <v>0</v>
      </c>
      <c r="L657">
        <v>0</v>
      </c>
      <c r="M657">
        <v>0</v>
      </c>
      <c r="N657" s="5">
        <v>0</v>
      </c>
      <c r="O657">
        <v>0</v>
      </c>
    </row>
    <row r="658" spans="1:15" hidden="1" x14ac:dyDescent="0.25">
      <c r="A658" s="2" t="s">
        <v>4196</v>
      </c>
      <c r="B658" s="3">
        <v>44485</v>
      </c>
      <c r="C658" s="2" t="s">
        <v>4197</v>
      </c>
      <c r="D658" t="s">
        <v>6143</v>
      </c>
      <c r="E658" s="2">
        <v>4</v>
      </c>
      <c r="F658" s="2" t="s">
        <v>4198</v>
      </c>
      <c r="G658" s="4" t="s">
        <v>4199</v>
      </c>
      <c r="H658" s="2" t="s">
        <v>19</v>
      </c>
      <c r="I658" s="2" t="s">
        <v>133</v>
      </c>
      <c r="J658">
        <v>0</v>
      </c>
      <c r="K658">
        <v>0</v>
      </c>
      <c r="L658">
        <v>0</v>
      </c>
      <c r="M658">
        <v>0</v>
      </c>
      <c r="N658" s="5">
        <v>0</v>
      </c>
      <c r="O658">
        <v>0</v>
      </c>
    </row>
    <row r="659" spans="1:15" hidden="1" x14ac:dyDescent="0.25">
      <c r="A659" s="2" t="s">
        <v>4201</v>
      </c>
      <c r="B659" s="3">
        <v>43831</v>
      </c>
      <c r="C659" s="2" t="s">
        <v>4202</v>
      </c>
      <c r="D659" t="s">
        <v>6157</v>
      </c>
      <c r="E659" s="2">
        <v>2</v>
      </c>
      <c r="F659" s="2" t="s">
        <v>4203</v>
      </c>
      <c r="G659" s="4" t="s">
        <v>4204</v>
      </c>
      <c r="H659" s="2" t="s">
        <v>19</v>
      </c>
      <c r="I659" s="2" t="s">
        <v>256</v>
      </c>
      <c r="J659">
        <v>0</v>
      </c>
      <c r="K659">
        <v>0</v>
      </c>
      <c r="L659">
        <v>0</v>
      </c>
      <c r="M659">
        <v>0</v>
      </c>
      <c r="N659" s="5">
        <v>0</v>
      </c>
      <c r="O659">
        <v>0</v>
      </c>
    </row>
    <row r="660" spans="1:15" hidden="1" x14ac:dyDescent="0.25">
      <c r="A660" s="2" t="s">
        <v>4207</v>
      </c>
      <c r="B660" s="3">
        <v>44630</v>
      </c>
      <c r="C660" s="2" t="s">
        <v>4263</v>
      </c>
      <c r="D660" t="s">
        <v>6139</v>
      </c>
      <c r="E660" s="2">
        <v>3</v>
      </c>
      <c r="F660" s="2" t="s">
        <v>4209</v>
      </c>
      <c r="G660" s="4">
        <v>0</v>
      </c>
      <c r="H660" s="2" t="s">
        <v>318</v>
      </c>
      <c r="I660" s="2" t="s">
        <v>375</v>
      </c>
      <c r="J660">
        <v>0</v>
      </c>
      <c r="K660">
        <v>0</v>
      </c>
      <c r="L660">
        <v>0</v>
      </c>
      <c r="M660">
        <v>0</v>
      </c>
      <c r="N660" s="5">
        <v>0</v>
      </c>
      <c r="O660">
        <v>0</v>
      </c>
    </row>
    <row r="661" spans="1:15" hidden="1" x14ac:dyDescent="0.25">
      <c r="A661" s="2" t="s">
        <v>4211</v>
      </c>
      <c r="B661" s="3">
        <v>44693</v>
      </c>
      <c r="C661" s="2" t="s">
        <v>4212</v>
      </c>
      <c r="D661" t="s">
        <v>6168</v>
      </c>
      <c r="E661" s="2">
        <v>2</v>
      </c>
      <c r="F661" s="2" t="s">
        <v>4213</v>
      </c>
      <c r="G661" s="4" t="s">
        <v>4214</v>
      </c>
      <c r="H661" s="2" t="s">
        <v>318</v>
      </c>
      <c r="I661" s="2" t="s">
        <v>397</v>
      </c>
      <c r="J661">
        <v>0</v>
      </c>
      <c r="K661">
        <v>0</v>
      </c>
      <c r="L661">
        <v>0</v>
      </c>
      <c r="M661">
        <v>0</v>
      </c>
      <c r="N661" s="5">
        <v>0</v>
      </c>
      <c r="O661">
        <v>0</v>
      </c>
    </row>
    <row r="662" spans="1:15" hidden="1" x14ac:dyDescent="0.25">
      <c r="A662" s="2" t="s">
        <v>4217</v>
      </c>
      <c r="B662" s="3">
        <v>44084</v>
      </c>
      <c r="C662" s="2" t="s">
        <v>4218</v>
      </c>
      <c r="D662" t="s">
        <v>6176</v>
      </c>
      <c r="E662" s="2">
        <v>6</v>
      </c>
      <c r="F662" s="2" t="s">
        <v>4219</v>
      </c>
      <c r="G662" s="4" t="s">
        <v>4220</v>
      </c>
      <c r="H662" s="2" t="s">
        <v>19</v>
      </c>
      <c r="I662" s="2" t="s">
        <v>174</v>
      </c>
      <c r="J662">
        <v>0</v>
      </c>
      <c r="K662">
        <v>0</v>
      </c>
      <c r="L662">
        <v>0</v>
      </c>
      <c r="M662">
        <v>0</v>
      </c>
      <c r="N662" s="5">
        <v>0</v>
      </c>
      <c r="O662">
        <v>0</v>
      </c>
    </row>
    <row r="663" spans="1:15" hidden="1" x14ac:dyDescent="0.25">
      <c r="A663" s="2" t="s">
        <v>4223</v>
      </c>
      <c r="B663" s="3">
        <v>44485</v>
      </c>
      <c r="C663" s="2" t="s">
        <v>4224</v>
      </c>
      <c r="D663" t="s">
        <v>6152</v>
      </c>
      <c r="E663" s="2">
        <v>6</v>
      </c>
      <c r="F663" s="2" t="s">
        <v>4225</v>
      </c>
      <c r="G663" s="4" t="s">
        <v>4226</v>
      </c>
      <c r="H663" s="2" t="s">
        <v>19</v>
      </c>
      <c r="I663" s="2" t="s">
        <v>63</v>
      </c>
      <c r="J663">
        <v>0</v>
      </c>
      <c r="K663">
        <v>0</v>
      </c>
      <c r="L663">
        <v>0</v>
      </c>
      <c r="M663">
        <v>0</v>
      </c>
      <c r="N663" s="5">
        <v>0</v>
      </c>
      <c r="O663">
        <v>0</v>
      </c>
    </row>
    <row r="664" spans="1:15" hidden="1" x14ac:dyDescent="0.25">
      <c r="A664" s="2" t="s">
        <v>4229</v>
      </c>
      <c r="B664" s="3">
        <v>44364</v>
      </c>
      <c r="C664" s="2" t="s">
        <v>4230</v>
      </c>
      <c r="D664" t="s">
        <v>6165</v>
      </c>
      <c r="E664" s="2">
        <v>5</v>
      </c>
      <c r="F664" s="2" t="s">
        <v>4231</v>
      </c>
      <c r="G664" s="4" t="s">
        <v>4232</v>
      </c>
      <c r="H664" s="2" t="s">
        <v>19</v>
      </c>
      <c r="I664" s="2" t="s">
        <v>61</v>
      </c>
      <c r="J664">
        <v>0</v>
      </c>
      <c r="K664">
        <v>0</v>
      </c>
      <c r="L664">
        <v>0</v>
      </c>
      <c r="M664">
        <v>0</v>
      </c>
      <c r="N664" s="5">
        <v>0</v>
      </c>
      <c r="O664">
        <v>0</v>
      </c>
    </row>
    <row r="665" spans="1:15" hidden="1" x14ac:dyDescent="0.25">
      <c r="A665" s="2" t="s">
        <v>4234</v>
      </c>
      <c r="B665" s="3">
        <v>43554</v>
      </c>
      <c r="C665" s="2" t="s">
        <v>4235</v>
      </c>
      <c r="D665" t="s">
        <v>6155</v>
      </c>
      <c r="E665" s="2">
        <v>6</v>
      </c>
      <c r="F665" s="2" t="s">
        <v>4236</v>
      </c>
      <c r="G665" s="4" t="s">
        <v>4237</v>
      </c>
      <c r="H665" s="2" t="s">
        <v>19</v>
      </c>
      <c r="I665" s="2" t="s">
        <v>48</v>
      </c>
      <c r="J665">
        <v>0</v>
      </c>
      <c r="K665">
        <v>0</v>
      </c>
      <c r="L665">
        <v>0</v>
      </c>
      <c r="M665">
        <v>0</v>
      </c>
      <c r="N665" s="5">
        <v>0</v>
      </c>
      <c r="O665">
        <v>0</v>
      </c>
    </row>
    <row r="666" spans="1:15" hidden="1" x14ac:dyDescent="0.25">
      <c r="A666" s="2" t="s">
        <v>4239</v>
      </c>
      <c r="B666" s="3">
        <v>44549</v>
      </c>
      <c r="C666" s="2" t="s">
        <v>4240</v>
      </c>
      <c r="D666" t="s">
        <v>6183</v>
      </c>
      <c r="E666" s="2">
        <v>6</v>
      </c>
      <c r="F666" s="2" t="s">
        <v>4241</v>
      </c>
      <c r="G666" s="4" t="s">
        <v>4242</v>
      </c>
      <c r="H666" s="2" t="s">
        <v>19</v>
      </c>
      <c r="I666" s="2" t="s">
        <v>179</v>
      </c>
      <c r="J666">
        <v>0</v>
      </c>
      <c r="K666">
        <v>0</v>
      </c>
      <c r="L666">
        <v>0</v>
      </c>
      <c r="M666">
        <v>0</v>
      </c>
      <c r="N666" s="5">
        <v>0</v>
      </c>
      <c r="O666">
        <v>0</v>
      </c>
    </row>
    <row r="667" spans="1:15" hidden="1" x14ac:dyDescent="0.25">
      <c r="A667" s="2" t="s">
        <v>4239</v>
      </c>
      <c r="B667" s="3">
        <v>44549</v>
      </c>
      <c r="C667" s="2" t="s">
        <v>4240</v>
      </c>
      <c r="D667" t="s">
        <v>6150</v>
      </c>
      <c r="E667" s="2">
        <v>2</v>
      </c>
      <c r="F667" s="2" t="s">
        <v>4246</v>
      </c>
      <c r="G667" s="4" t="s">
        <v>4247</v>
      </c>
      <c r="H667" s="2" t="s">
        <v>19</v>
      </c>
      <c r="I667" s="2" t="s">
        <v>93</v>
      </c>
      <c r="J667">
        <v>0</v>
      </c>
      <c r="K667">
        <v>0</v>
      </c>
      <c r="L667">
        <v>0</v>
      </c>
      <c r="M667">
        <v>0</v>
      </c>
      <c r="N667" s="5">
        <v>0</v>
      </c>
      <c r="O667">
        <v>0</v>
      </c>
    </row>
    <row r="668" spans="1:15" hidden="1" x14ac:dyDescent="0.25">
      <c r="A668" s="2" t="s">
        <v>4250</v>
      </c>
      <c r="B668" s="3">
        <v>43987</v>
      </c>
      <c r="C668" s="2" t="s">
        <v>4251</v>
      </c>
      <c r="D668" t="s">
        <v>6168</v>
      </c>
      <c r="E668" s="2">
        <v>4</v>
      </c>
      <c r="F668" s="2" t="s">
        <v>4252</v>
      </c>
      <c r="G668" s="4" t="s">
        <v>4253</v>
      </c>
      <c r="H668" s="2" t="s">
        <v>19</v>
      </c>
      <c r="I668" s="2" t="s">
        <v>297</v>
      </c>
      <c r="J668">
        <v>0</v>
      </c>
      <c r="K668">
        <v>0</v>
      </c>
      <c r="L668">
        <v>0</v>
      </c>
      <c r="M668">
        <v>0</v>
      </c>
      <c r="N668" s="5">
        <v>0</v>
      </c>
      <c r="O668">
        <v>0</v>
      </c>
    </row>
    <row r="669" spans="1:15" hidden="1" x14ac:dyDescent="0.25">
      <c r="A669" s="2" t="s">
        <v>4256</v>
      </c>
      <c r="B669" s="3">
        <v>44451</v>
      </c>
      <c r="C669" s="2" t="s">
        <v>4257</v>
      </c>
      <c r="D669" t="s">
        <v>6147</v>
      </c>
      <c r="E669" s="2">
        <v>6</v>
      </c>
      <c r="F669" s="2" t="s">
        <v>4258</v>
      </c>
      <c r="G669" s="4" t="s">
        <v>4259</v>
      </c>
      <c r="H669" s="2" t="s">
        <v>318</v>
      </c>
      <c r="I669" s="2" t="s">
        <v>401</v>
      </c>
      <c r="J669">
        <v>0</v>
      </c>
      <c r="K669">
        <v>0</v>
      </c>
      <c r="L669">
        <v>0</v>
      </c>
      <c r="M669">
        <v>0</v>
      </c>
      <c r="N669" s="5">
        <v>0</v>
      </c>
      <c r="O669">
        <v>0</v>
      </c>
    </row>
    <row r="670" spans="1:15" hidden="1" x14ac:dyDescent="0.25">
      <c r="A670" s="2" t="s">
        <v>4262</v>
      </c>
      <c r="B670" s="3">
        <v>44636</v>
      </c>
      <c r="C670" s="2" t="s">
        <v>4263</v>
      </c>
      <c r="D670" t="s">
        <v>6142</v>
      </c>
      <c r="E670" s="2">
        <v>5</v>
      </c>
      <c r="F670" s="2" t="s">
        <v>4264</v>
      </c>
      <c r="G670" s="4" t="s">
        <v>4265</v>
      </c>
      <c r="H670" s="2" t="s">
        <v>19</v>
      </c>
      <c r="I670" s="2" t="s">
        <v>31</v>
      </c>
      <c r="J670">
        <v>0</v>
      </c>
      <c r="K670">
        <v>0</v>
      </c>
      <c r="L670">
        <v>0</v>
      </c>
      <c r="M670">
        <v>0</v>
      </c>
      <c r="N670" s="5">
        <v>0</v>
      </c>
      <c r="O670">
        <v>0</v>
      </c>
    </row>
    <row r="671" spans="1:15" hidden="1" x14ac:dyDescent="0.25">
      <c r="A671" s="2" t="s">
        <v>4268</v>
      </c>
      <c r="B671" s="3">
        <v>44551</v>
      </c>
      <c r="C671" s="2" t="s">
        <v>4269</v>
      </c>
      <c r="D671" t="s">
        <v>6181</v>
      </c>
      <c r="E671" s="2">
        <v>2</v>
      </c>
      <c r="F671" s="2" t="s">
        <v>4270</v>
      </c>
      <c r="G671" s="4" t="s">
        <v>4271</v>
      </c>
      <c r="H671" s="2" t="s">
        <v>19</v>
      </c>
      <c r="I671" s="2" t="s">
        <v>275</v>
      </c>
      <c r="J671">
        <v>0</v>
      </c>
      <c r="K671">
        <v>0</v>
      </c>
      <c r="L671">
        <v>0</v>
      </c>
      <c r="M671">
        <v>0</v>
      </c>
      <c r="N671" s="5">
        <v>0</v>
      </c>
      <c r="O671">
        <v>0</v>
      </c>
    </row>
    <row r="672" spans="1:15" hidden="1" x14ac:dyDescent="0.25">
      <c r="A672" s="2" t="s">
        <v>4274</v>
      </c>
      <c r="B672" s="3">
        <v>43606</v>
      </c>
      <c r="C672" s="2" t="s">
        <v>4275</v>
      </c>
      <c r="D672" t="s">
        <v>6159</v>
      </c>
      <c r="E672" s="2">
        <v>3</v>
      </c>
      <c r="F672" s="2" t="s">
        <v>4276</v>
      </c>
      <c r="G672" s="4" t="s">
        <v>4277</v>
      </c>
      <c r="H672" s="2" t="s">
        <v>19</v>
      </c>
      <c r="I672" s="2" t="s">
        <v>79</v>
      </c>
      <c r="J672">
        <v>0</v>
      </c>
      <c r="K672">
        <v>0</v>
      </c>
      <c r="L672">
        <v>0</v>
      </c>
      <c r="M672">
        <v>0</v>
      </c>
      <c r="N672" s="5">
        <v>0</v>
      </c>
      <c r="O672">
        <v>0</v>
      </c>
    </row>
    <row r="673" spans="1:15" hidden="1" x14ac:dyDescent="0.25">
      <c r="A673" s="2" t="s">
        <v>4280</v>
      </c>
      <c r="B673" s="3">
        <v>44495</v>
      </c>
      <c r="C673" s="2" t="s">
        <v>4281</v>
      </c>
      <c r="D673" t="s">
        <v>6179</v>
      </c>
      <c r="E673" s="2">
        <v>5</v>
      </c>
      <c r="F673" s="2" t="s">
        <v>4282</v>
      </c>
      <c r="G673" s="4" t="s">
        <v>4283</v>
      </c>
      <c r="H673" s="2" t="s">
        <v>19</v>
      </c>
      <c r="I673" s="2" t="s">
        <v>259</v>
      </c>
      <c r="J673">
        <v>0</v>
      </c>
      <c r="K673">
        <v>0</v>
      </c>
      <c r="L673">
        <v>0</v>
      </c>
      <c r="M673">
        <v>0</v>
      </c>
      <c r="N673" s="5">
        <v>0</v>
      </c>
      <c r="O673">
        <v>0</v>
      </c>
    </row>
    <row r="674" spans="1:15" hidden="1" x14ac:dyDescent="0.25">
      <c r="A674" s="2" t="s">
        <v>4286</v>
      </c>
      <c r="B674" s="3">
        <v>43916</v>
      </c>
      <c r="C674" s="2" t="s">
        <v>4287</v>
      </c>
      <c r="D674" t="s">
        <v>6160</v>
      </c>
      <c r="E674" s="2">
        <v>5</v>
      </c>
      <c r="F674" s="2" t="s">
        <v>4288</v>
      </c>
      <c r="G674" s="4" t="s">
        <v>4289</v>
      </c>
      <c r="H674" s="2" t="s">
        <v>19</v>
      </c>
      <c r="I674" s="2" t="s">
        <v>63</v>
      </c>
      <c r="J674">
        <v>0</v>
      </c>
      <c r="K674">
        <v>0</v>
      </c>
      <c r="L674">
        <v>0</v>
      </c>
      <c r="M674">
        <v>0</v>
      </c>
      <c r="N674" s="5">
        <v>0</v>
      </c>
      <c r="O674">
        <v>0</v>
      </c>
    </row>
    <row r="675" spans="1:15" hidden="1" x14ac:dyDescent="0.25">
      <c r="A675" s="2" t="s">
        <v>4291</v>
      </c>
      <c r="B675" s="3">
        <v>44118</v>
      </c>
      <c r="C675" s="2" t="s">
        <v>4292</v>
      </c>
      <c r="D675" t="s">
        <v>6141</v>
      </c>
      <c r="E675" s="2">
        <v>6</v>
      </c>
      <c r="F675" s="2" t="s">
        <v>4293</v>
      </c>
      <c r="G675" s="4" t="s">
        <v>4294</v>
      </c>
      <c r="H675" s="2" t="s">
        <v>19</v>
      </c>
      <c r="I675" s="2" t="s">
        <v>116</v>
      </c>
      <c r="J675">
        <v>0</v>
      </c>
      <c r="K675">
        <v>0</v>
      </c>
      <c r="L675">
        <v>0</v>
      </c>
      <c r="M675">
        <v>0</v>
      </c>
      <c r="N675" s="5">
        <v>0</v>
      </c>
      <c r="O675">
        <v>0</v>
      </c>
    </row>
    <row r="676" spans="1:15" hidden="1" x14ac:dyDescent="0.25">
      <c r="A676" s="2" t="s">
        <v>4297</v>
      </c>
      <c r="B676" s="3">
        <v>44543</v>
      </c>
      <c r="C676" s="2" t="s">
        <v>4298</v>
      </c>
      <c r="D676" t="s">
        <v>6182</v>
      </c>
      <c r="E676" s="2">
        <v>6</v>
      </c>
      <c r="F676" s="2" t="s">
        <v>4299</v>
      </c>
      <c r="G676" s="4" t="s">
        <v>4300</v>
      </c>
      <c r="H676" s="2" t="s">
        <v>19</v>
      </c>
      <c r="I676" s="2" t="s">
        <v>396</v>
      </c>
      <c r="J676">
        <v>0</v>
      </c>
      <c r="K676">
        <v>0</v>
      </c>
      <c r="L676">
        <v>0</v>
      </c>
      <c r="M676">
        <v>0</v>
      </c>
      <c r="N676" s="5">
        <v>0</v>
      </c>
      <c r="O676">
        <v>0</v>
      </c>
    </row>
    <row r="677" spans="1:15" hidden="1" x14ac:dyDescent="0.25">
      <c r="A677" s="2" t="s">
        <v>4303</v>
      </c>
      <c r="B677" s="3">
        <v>44263</v>
      </c>
      <c r="C677" s="2" t="s">
        <v>4304</v>
      </c>
      <c r="D677" t="s">
        <v>6165</v>
      </c>
      <c r="E677" s="2">
        <v>4</v>
      </c>
      <c r="F677" s="2" t="s">
        <v>4305</v>
      </c>
      <c r="G677" s="4">
        <v>0</v>
      </c>
      <c r="H677" s="2" t="s">
        <v>19</v>
      </c>
      <c r="I677" s="2" t="s">
        <v>313</v>
      </c>
      <c r="J677">
        <v>0</v>
      </c>
      <c r="K677">
        <v>0</v>
      </c>
      <c r="L677">
        <v>0</v>
      </c>
      <c r="M677">
        <v>0</v>
      </c>
      <c r="N677" s="5">
        <v>0</v>
      </c>
      <c r="O677">
        <v>0</v>
      </c>
    </row>
    <row r="678" spans="1:15" hidden="1" x14ac:dyDescent="0.25">
      <c r="A678" s="2" t="s">
        <v>4308</v>
      </c>
      <c r="B678" s="3">
        <v>44217</v>
      </c>
      <c r="C678" s="2" t="s">
        <v>4309</v>
      </c>
      <c r="D678" t="s">
        <v>6161</v>
      </c>
      <c r="E678" s="2">
        <v>5</v>
      </c>
      <c r="F678" s="2" t="s">
        <v>4310</v>
      </c>
      <c r="G678" s="4">
        <v>0</v>
      </c>
      <c r="H678" s="2" t="s">
        <v>19</v>
      </c>
      <c r="I678" s="2" t="s">
        <v>214</v>
      </c>
      <c r="J678">
        <v>0</v>
      </c>
      <c r="K678">
        <v>0</v>
      </c>
      <c r="L678">
        <v>0</v>
      </c>
      <c r="M678">
        <v>0</v>
      </c>
      <c r="N678" s="5">
        <v>0</v>
      </c>
      <c r="O678">
        <v>0</v>
      </c>
    </row>
    <row r="679" spans="1:15" hidden="1" x14ac:dyDescent="0.25">
      <c r="A679" s="2" t="s">
        <v>4313</v>
      </c>
      <c r="B679" s="3">
        <v>44206</v>
      </c>
      <c r="C679" s="2" t="s">
        <v>4314</v>
      </c>
      <c r="D679" t="s">
        <v>6160</v>
      </c>
      <c r="E679" s="2">
        <v>5</v>
      </c>
      <c r="F679" s="2" t="s">
        <v>4315</v>
      </c>
      <c r="G679" s="4" t="s">
        <v>4316</v>
      </c>
      <c r="H679" s="2" t="s">
        <v>318</v>
      </c>
      <c r="I679" s="2" t="s">
        <v>469</v>
      </c>
      <c r="J679">
        <v>0</v>
      </c>
      <c r="K679">
        <v>0</v>
      </c>
      <c r="L679">
        <v>0</v>
      </c>
      <c r="M679">
        <v>0</v>
      </c>
      <c r="N679" s="5">
        <v>0</v>
      </c>
      <c r="O679">
        <v>0</v>
      </c>
    </row>
    <row r="680" spans="1:15" hidden="1" x14ac:dyDescent="0.25">
      <c r="A680" s="2" t="s">
        <v>4319</v>
      </c>
      <c r="B680" s="3">
        <v>44281</v>
      </c>
      <c r="C680" s="2" t="s">
        <v>4320</v>
      </c>
      <c r="D680" t="s">
        <v>6182</v>
      </c>
      <c r="E680" s="2">
        <v>6</v>
      </c>
      <c r="F680" s="2" t="s">
        <v>4321</v>
      </c>
      <c r="G680" s="4" t="s">
        <v>4322</v>
      </c>
      <c r="H680" s="2" t="s">
        <v>19</v>
      </c>
      <c r="I680" s="2" t="s">
        <v>191</v>
      </c>
      <c r="J680">
        <v>0</v>
      </c>
      <c r="K680">
        <v>0</v>
      </c>
      <c r="L680">
        <v>0</v>
      </c>
      <c r="M680">
        <v>0</v>
      </c>
      <c r="N680" s="5">
        <v>0</v>
      </c>
      <c r="O680">
        <v>0</v>
      </c>
    </row>
    <row r="681" spans="1:15" hidden="1" x14ac:dyDescent="0.25">
      <c r="A681" s="2" t="s">
        <v>4325</v>
      </c>
      <c r="B681" s="3">
        <v>44645</v>
      </c>
      <c r="C681" s="2" t="s">
        <v>4326</v>
      </c>
      <c r="D681" t="s">
        <v>6142</v>
      </c>
      <c r="E681" s="2">
        <v>1</v>
      </c>
      <c r="F681" s="2" t="s">
        <v>4327</v>
      </c>
      <c r="G681" s="4" t="s">
        <v>4328</v>
      </c>
      <c r="H681" s="2" t="s">
        <v>28</v>
      </c>
      <c r="I681" s="2" t="s">
        <v>279</v>
      </c>
      <c r="J681">
        <v>0</v>
      </c>
      <c r="K681">
        <v>0</v>
      </c>
      <c r="L681">
        <v>0</v>
      </c>
      <c r="M681">
        <v>0</v>
      </c>
      <c r="N681" s="5">
        <v>0</v>
      </c>
      <c r="O681">
        <v>0</v>
      </c>
    </row>
    <row r="682" spans="1:15" hidden="1" x14ac:dyDescent="0.25">
      <c r="A682" s="2" t="s">
        <v>4331</v>
      </c>
      <c r="B682" s="3">
        <v>44399</v>
      </c>
      <c r="C682" s="2" t="s">
        <v>4332</v>
      </c>
      <c r="D682" t="s">
        <v>6155</v>
      </c>
      <c r="E682" s="2">
        <v>5</v>
      </c>
      <c r="F682" s="2" t="s">
        <v>4333</v>
      </c>
      <c r="G682" s="4" t="s">
        <v>4334</v>
      </c>
      <c r="H682" s="2" t="s">
        <v>19</v>
      </c>
      <c r="I682" s="2" t="s">
        <v>170</v>
      </c>
      <c r="J682">
        <v>0</v>
      </c>
      <c r="K682">
        <v>0</v>
      </c>
      <c r="L682">
        <v>0</v>
      </c>
      <c r="M682">
        <v>0</v>
      </c>
      <c r="N682" s="5">
        <v>0</v>
      </c>
      <c r="O682">
        <v>0</v>
      </c>
    </row>
    <row r="683" spans="1:15" hidden="1" x14ac:dyDescent="0.25">
      <c r="A683" s="2" t="s">
        <v>4336</v>
      </c>
      <c r="B683" s="3">
        <v>44080</v>
      </c>
      <c r="C683" s="2" t="s">
        <v>4337</v>
      </c>
      <c r="D683" t="s">
        <v>6145</v>
      </c>
      <c r="E683" s="2">
        <v>2</v>
      </c>
      <c r="F683" s="2" t="s">
        <v>4338</v>
      </c>
      <c r="G683" s="4" t="s">
        <v>4339</v>
      </c>
      <c r="H683" s="2" t="s">
        <v>28</v>
      </c>
      <c r="I683" s="2" t="s">
        <v>248</v>
      </c>
      <c r="J683">
        <v>0</v>
      </c>
      <c r="K683">
        <v>0</v>
      </c>
      <c r="L683">
        <v>0</v>
      </c>
      <c r="M683">
        <v>0</v>
      </c>
      <c r="N683" s="5">
        <v>0</v>
      </c>
      <c r="O683">
        <v>0</v>
      </c>
    </row>
    <row r="684" spans="1:15" hidden="1" x14ac:dyDescent="0.25">
      <c r="A684" s="2" t="s">
        <v>4342</v>
      </c>
      <c r="B684" s="3">
        <v>43827</v>
      </c>
      <c r="C684" s="2" t="s">
        <v>4343</v>
      </c>
      <c r="D684" t="s">
        <v>6156</v>
      </c>
      <c r="E684" s="2">
        <v>2</v>
      </c>
      <c r="F684" s="2" t="s">
        <v>4344</v>
      </c>
      <c r="G684" s="4" t="s">
        <v>4345</v>
      </c>
      <c r="H684" s="2" t="s">
        <v>19</v>
      </c>
      <c r="I684" s="2" t="s">
        <v>22</v>
      </c>
      <c r="J684">
        <v>0</v>
      </c>
      <c r="K684">
        <v>0</v>
      </c>
      <c r="L684">
        <v>0</v>
      </c>
      <c r="M684">
        <v>0</v>
      </c>
      <c r="N684" s="5">
        <v>0</v>
      </c>
      <c r="O684">
        <v>0</v>
      </c>
    </row>
    <row r="685" spans="1:15" hidden="1" x14ac:dyDescent="0.25">
      <c r="A685" s="2" t="s">
        <v>4348</v>
      </c>
      <c r="B685" s="3">
        <v>43941</v>
      </c>
      <c r="C685" s="2" t="s">
        <v>4349</v>
      </c>
      <c r="D685" t="s">
        <v>6169</v>
      </c>
      <c r="E685" s="2">
        <v>6</v>
      </c>
      <c r="F685" s="2" t="s">
        <v>4350</v>
      </c>
      <c r="G685" s="4" t="s">
        <v>4351</v>
      </c>
      <c r="H685" s="2" t="s">
        <v>19</v>
      </c>
      <c r="I685" s="2" t="s">
        <v>63</v>
      </c>
      <c r="J685">
        <v>0</v>
      </c>
      <c r="K685">
        <v>0</v>
      </c>
      <c r="L685">
        <v>0</v>
      </c>
      <c r="M685">
        <v>0</v>
      </c>
      <c r="N685" s="5">
        <v>0</v>
      </c>
      <c r="O685">
        <v>0</v>
      </c>
    </row>
    <row r="686" spans="1:15" hidden="1" x14ac:dyDescent="0.25">
      <c r="A686" s="2" t="s">
        <v>4354</v>
      </c>
      <c r="B686" s="3">
        <v>43517</v>
      </c>
      <c r="C686" s="2" t="s">
        <v>4355</v>
      </c>
      <c r="D686" t="s">
        <v>6179</v>
      </c>
      <c r="E686" s="2">
        <v>6</v>
      </c>
      <c r="F686" s="2" t="s">
        <v>4356</v>
      </c>
      <c r="G686" s="4">
        <v>0</v>
      </c>
      <c r="H686" s="2" t="s">
        <v>19</v>
      </c>
      <c r="I686" s="2" t="s">
        <v>189</v>
      </c>
      <c r="J686">
        <v>0</v>
      </c>
      <c r="K686">
        <v>0</v>
      </c>
      <c r="L686">
        <v>0</v>
      </c>
      <c r="M686">
        <v>0</v>
      </c>
      <c r="N686" s="5">
        <v>0</v>
      </c>
      <c r="O686">
        <v>0</v>
      </c>
    </row>
    <row r="687" spans="1:15" hidden="1" x14ac:dyDescent="0.25">
      <c r="A687" s="2" t="s">
        <v>4359</v>
      </c>
      <c r="B687" s="3">
        <v>44637</v>
      </c>
      <c r="C687" s="2" t="s">
        <v>4360</v>
      </c>
      <c r="D687" t="s">
        <v>6164</v>
      </c>
      <c r="E687" s="2">
        <v>2</v>
      </c>
      <c r="F687" s="2" t="s">
        <v>4361</v>
      </c>
      <c r="G687" s="4" t="s">
        <v>4362</v>
      </c>
      <c r="H687" s="2" t="s">
        <v>19</v>
      </c>
      <c r="I687" s="2" t="s">
        <v>87</v>
      </c>
      <c r="J687">
        <v>0</v>
      </c>
      <c r="K687">
        <v>0</v>
      </c>
      <c r="L687">
        <v>0</v>
      </c>
      <c r="M687">
        <v>0</v>
      </c>
      <c r="N687" s="5">
        <v>0</v>
      </c>
      <c r="O687">
        <v>0</v>
      </c>
    </row>
    <row r="688" spans="1:15" hidden="1" x14ac:dyDescent="0.25">
      <c r="A688" s="2" t="s">
        <v>4365</v>
      </c>
      <c r="B688" s="3">
        <v>44330</v>
      </c>
      <c r="C688" s="2" t="s">
        <v>4366</v>
      </c>
      <c r="D688" t="s">
        <v>6163</v>
      </c>
      <c r="E688" s="2">
        <v>3</v>
      </c>
      <c r="F688" s="2" t="s">
        <v>4367</v>
      </c>
      <c r="G688" s="4" t="s">
        <v>4368</v>
      </c>
      <c r="H688" s="2" t="s">
        <v>19</v>
      </c>
      <c r="I688" s="2" t="s">
        <v>178</v>
      </c>
      <c r="J688">
        <v>0</v>
      </c>
      <c r="K688">
        <v>0</v>
      </c>
      <c r="L688">
        <v>0</v>
      </c>
      <c r="M688">
        <v>0</v>
      </c>
      <c r="N688" s="5">
        <v>0</v>
      </c>
      <c r="O688">
        <v>0</v>
      </c>
    </row>
    <row r="689" spans="1:15" hidden="1" x14ac:dyDescent="0.25">
      <c r="A689" s="2" t="s">
        <v>4371</v>
      </c>
      <c r="B689" s="3">
        <v>43471</v>
      </c>
      <c r="C689" s="2" t="s">
        <v>4372</v>
      </c>
      <c r="D689" t="s">
        <v>6139</v>
      </c>
      <c r="E689" s="2">
        <v>2</v>
      </c>
      <c r="F689" s="2" t="s">
        <v>4373</v>
      </c>
      <c r="G689" s="4" t="s">
        <v>4374</v>
      </c>
      <c r="H689" s="2" t="s">
        <v>19</v>
      </c>
      <c r="I689" s="2" t="s">
        <v>98</v>
      </c>
      <c r="J689">
        <v>0</v>
      </c>
      <c r="K689">
        <v>0</v>
      </c>
      <c r="L689">
        <v>0</v>
      </c>
      <c r="M689">
        <v>0</v>
      </c>
      <c r="N689" s="5">
        <v>0</v>
      </c>
      <c r="O689">
        <v>0</v>
      </c>
    </row>
    <row r="690" spans="1:15" hidden="1" x14ac:dyDescent="0.25">
      <c r="A690" s="2" t="s">
        <v>4377</v>
      </c>
      <c r="B690" s="3">
        <v>43579</v>
      </c>
      <c r="C690" s="2" t="s">
        <v>4378</v>
      </c>
      <c r="D690" t="s">
        <v>6140</v>
      </c>
      <c r="E690" s="2">
        <v>5</v>
      </c>
      <c r="F690" s="2" t="s">
        <v>4379</v>
      </c>
      <c r="G690" s="4" t="s">
        <v>4380</v>
      </c>
      <c r="H690" s="2" t="s">
        <v>318</v>
      </c>
      <c r="I690" s="2" t="s">
        <v>333</v>
      </c>
      <c r="J690">
        <v>0</v>
      </c>
      <c r="K690">
        <v>0</v>
      </c>
      <c r="L690">
        <v>0</v>
      </c>
      <c r="M690">
        <v>0</v>
      </c>
      <c r="N690" s="5">
        <v>0</v>
      </c>
      <c r="O690">
        <v>0</v>
      </c>
    </row>
    <row r="691" spans="1:15" hidden="1" x14ac:dyDescent="0.25">
      <c r="A691" s="2" t="s">
        <v>4383</v>
      </c>
      <c r="B691" s="3">
        <v>44346</v>
      </c>
      <c r="C691" s="2" t="s">
        <v>4384</v>
      </c>
      <c r="D691" t="s">
        <v>6157</v>
      </c>
      <c r="E691" s="2">
        <v>5</v>
      </c>
      <c r="F691" s="2" t="s">
        <v>4385</v>
      </c>
      <c r="G691" s="4" t="s">
        <v>4386</v>
      </c>
      <c r="H691" s="2" t="s">
        <v>19</v>
      </c>
      <c r="I691" s="2" t="s">
        <v>78</v>
      </c>
      <c r="J691">
        <v>0</v>
      </c>
      <c r="K691">
        <v>0</v>
      </c>
      <c r="L691">
        <v>0</v>
      </c>
      <c r="M691">
        <v>0</v>
      </c>
      <c r="N691" s="5">
        <v>0</v>
      </c>
      <c r="O691">
        <v>0</v>
      </c>
    </row>
    <row r="692" spans="1:15" hidden="1" x14ac:dyDescent="0.25">
      <c r="A692" s="2" t="s">
        <v>4389</v>
      </c>
      <c r="B692" s="3">
        <v>44754</v>
      </c>
      <c r="C692" s="2" t="s">
        <v>4390</v>
      </c>
      <c r="D692" t="s">
        <v>6165</v>
      </c>
      <c r="E692" s="2">
        <v>6</v>
      </c>
      <c r="F692" s="2" t="s">
        <v>4391</v>
      </c>
      <c r="G692" s="4">
        <v>0</v>
      </c>
      <c r="H692" s="2" t="s">
        <v>19</v>
      </c>
      <c r="I692" s="2" t="s">
        <v>260</v>
      </c>
      <c r="J692">
        <v>0</v>
      </c>
      <c r="K692">
        <v>0</v>
      </c>
      <c r="L692">
        <v>0</v>
      </c>
      <c r="M692">
        <v>0</v>
      </c>
      <c r="N692" s="5">
        <v>0</v>
      </c>
      <c r="O692">
        <v>0</v>
      </c>
    </row>
    <row r="693" spans="1:15" hidden="1" x14ac:dyDescent="0.25">
      <c r="A693" s="2" t="s">
        <v>4393</v>
      </c>
      <c r="B693" s="3">
        <v>44227</v>
      </c>
      <c r="C693" s="2" t="s">
        <v>4434</v>
      </c>
      <c r="D693" t="s">
        <v>6155</v>
      </c>
      <c r="E693" s="2">
        <v>2</v>
      </c>
      <c r="F693" s="2" t="s">
        <v>4395</v>
      </c>
      <c r="G693" s="4" t="s">
        <v>4396</v>
      </c>
      <c r="H693" s="2" t="s">
        <v>19</v>
      </c>
      <c r="I693" s="2" t="s">
        <v>117</v>
      </c>
      <c r="J693">
        <v>0</v>
      </c>
      <c r="K693">
        <v>0</v>
      </c>
      <c r="L693">
        <v>0</v>
      </c>
      <c r="M693">
        <v>0</v>
      </c>
      <c r="N693" s="5">
        <v>0</v>
      </c>
      <c r="O693">
        <v>0</v>
      </c>
    </row>
    <row r="694" spans="1:15" hidden="1" x14ac:dyDescent="0.25">
      <c r="A694" s="2" t="s">
        <v>4399</v>
      </c>
      <c r="B694" s="3">
        <v>43720</v>
      </c>
      <c r="C694" s="2" t="s">
        <v>4400</v>
      </c>
      <c r="D694" t="s">
        <v>6143</v>
      </c>
      <c r="E694" s="2">
        <v>1</v>
      </c>
      <c r="F694" s="2" t="s">
        <v>4401</v>
      </c>
      <c r="G694" s="4" t="s">
        <v>4402</v>
      </c>
      <c r="H694" s="2" t="s">
        <v>19</v>
      </c>
      <c r="I694" s="2" t="s">
        <v>51</v>
      </c>
      <c r="J694">
        <v>0</v>
      </c>
      <c r="K694">
        <v>0</v>
      </c>
      <c r="L694">
        <v>0</v>
      </c>
      <c r="M694">
        <v>0</v>
      </c>
      <c r="N694" s="5">
        <v>0</v>
      </c>
      <c r="O694">
        <v>0</v>
      </c>
    </row>
    <row r="695" spans="1:15" hidden="1" x14ac:dyDescent="0.25">
      <c r="A695" s="2" t="s">
        <v>4405</v>
      </c>
      <c r="B695" s="3">
        <v>44012</v>
      </c>
      <c r="C695" s="2" t="s">
        <v>4406</v>
      </c>
      <c r="D695" t="s">
        <v>6175</v>
      </c>
      <c r="E695" s="2">
        <v>2</v>
      </c>
      <c r="F695" s="2" t="s">
        <v>4407</v>
      </c>
      <c r="G695" s="4" t="s">
        <v>4408</v>
      </c>
      <c r="H695" s="2" t="s">
        <v>19</v>
      </c>
      <c r="I695" s="2" t="s">
        <v>104</v>
      </c>
      <c r="J695">
        <v>0</v>
      </c>
      <c r="K695">
        <v>0</v>
      </c>
      <c r="L695">
        <v>0</v>
      </c>
      <c r="M695">
        <v>0</v>
      </c>
      <c r="N695" s="5">
        <v>0</v>
      </c>
      <c r="O695">
        <v>0</v>
      </c>
    </row>
    <row r="696" spans="1:15" hidden="1" x14ac:dyDescent="0.25">
      <c r="A696" s="2" t="s">
        <v>4411</v>
      </c>
      <c r="B696" s="3">
        <v>43915</v>
      </c>
      <c r="C696" s="2" t="s">
        <v>4412</v>
      </c>
      <c r="D696" t="s">
        <v>6144</v>
      </c>
      <c r="E696" s="2">
        <v>5</v>
      </c>
      <c r="F696" s="2" t="s">
        <v>4413</v>
      </c>
      <c r="G696" s="4" t="s">
        <v>4414</v>
      </c>
      <c r="H696" s="2" t="s">
        <v>19</v>
      </c>
      <c r="I696" s="2" t="s">
        <v>243</v>
      </c>
      <c r="J696">
        <v>0</v>
      </c>
      <c r="K696">
        <v>0</v>
      </c>
      <c r="L696">
        <v>0</v>
      </c>
      <c r="M696">
        <v>0</v>
      </c>
      <c r="N696" s="5">
        <v>0</v>
      </c>
      <c r="O696">
        <v>0</v>
      </c>
    </row>
    <row r="697" spans="1:15" hidden="1" x14ac:dyDescent="0.25">
      <c r="A697" s="2" t="s">
        <v>4417</v>
      </c>
      <c r="B697" s="3">
        <v>44300</v>
      </c>
      <c r="C697" s="2" t="s">
        <v>4418</v>
      </c>
      <c r="D697" t="s">
        <v>6164</v>
      </c>
      <c r="E697" s="2">
        <v>5</v>
      </c>
      <c r="F697" s="2" t="s">
        <v>4419</v>
      </c>
      <c r="G697" s="4" t="s">
        <v>4420</v>
      </c>
      <c r="H697" s="2" t="s">
        <v>19</v>
      </c>
      <c r="I697" s="2" t="s">
        <v>20</v>
      </c>
      <c r="J697">
        <v>0</v>
      </c>
      <c r="K697">
        <v>0</v>
      </c>
      <c r="L697">
        <v>0</v>
      </c>
      <c r="M697">
        <v>0</v>
      </c>
      <c r="N697" s="5">
        <v>0</v>
      </c>
      <c r="O697">
        <v>0</v>
      </c>
    </row>
    <row r="698" spans="1:15" hidden="1" x14ac:dyDescent="0.25">
      <c r="A698" s="2" t="s">
        <v>4423</v>
      </c>
      <c r="B698" s="3">
        <v>43693</v>
      </c>
      <c r="C698" s="2" t="s">
        <v>4424</v>
      </c>
      <c r="D698" t="s">
        <v>6169</v>
      </c>
      <c r="E698" s="2">
        <v>4</v>
      </c>
      <c r="F698" s="2" t="s">
        <v>4425</v>
      </c>
      <c r="G698" s="4" t="s">
        <v>4426</v>
      </c>
      <c r="H698" s="2" t="s">
        <v>19</v>
      </c>
      <c r="I698" s="2" t="s">
        <v>22</v>
      </c>
      <c r="J698">
        <v>0</v>
      </c>
      <c r="K698">
        <v>0</v>
      </c>
      <c r="L698">
        <v>0</v>
      </c>
      <c r="M698">
        <v>0</v>
      </c>
      <c r="N698" s="5">
        <v>0</v>
      </c>
      <c r="O698">
        <v>0</v>
      </c>
    </row>
    <row r="699" spans="1:15" hidden="1" x14ac:dyDescent="0.25">
      <c r="A699" s="2" t="s">
        <v>4429</v>
      </c>
      <c r="B699" s="3">
        <v>44547</v>
      </c>
      <c r="C699" s="2" t="s">
        <v>4430</v>
      </c>
      <c r="D699" t="s">
        <v>6157</v>
      </c>
      <c r="E699" s="2">
        <v>3</v>
      </c>
      <c r="F699" s="2" t="s">
        <v>4431</v>
      </c>
      <c r="G699" s="4">
        <v>0</v>
      </c>
      <c r="H699" s="2" t="s">
        <v>318</v>
      </c>
      <c r="I699" s="2" t="s">
        <v>391</v>
      </c>
      <c r="J699">
        <v>0</v>
      </c>
      <c r="K699">
        <v>0</v>
      </c>
      <c r="L699">
        <v>0</v>
      </c>
      <c r="M699">
        <v>0</v>
      </c>
      <c r="N699" s="5">
        <v>0</v>
      </c>
      <c r="O699">
        <v>0</v>
      </c>
    </row>
    <row r="700" spans="1:15" hidden="1" x14ac:dyDescent="0.25">
      <c r="A700" s="2" t="s">
        <v>4433</v>
      </c>
      <c r="B700" s="3">
        <v>43830</v>
      </c>
      <c r="C700" s="2" t="s">
        <v>4434</v>
      </c>
      <c r="D700" t="s">
        <v>6143</v>
      </c>
      <c r="E700" s="2">
        <v>2</v>
      </c>
      <c r="F700" s="2" t="s">
        <v>4435</v>
      </c>
      <c r="G700" s="4" t="s">
        <v>4436</v>
      </c>
      <c r="H700" s="2" t="s">
        <v>318</v>
      </c>
      <c r="I700" s="2" t="s">
        <v>289</v>
      </c>
      <c r="J700">
        <v>0</v>
      </c>
      <c r="K700">
        <v>0</v>
      </c>
      <c r="L700">
        <v>0</v>
      </c>
      <c r="M700">
        <v>0</v>
      </c>
      <c r="N700" s="5">
        <v>0</v>
      </c>
      <c r="O700">
        <v>0</v>
      </c>
    </row>
    <row r="701" spans="1:15" hidden="1" x14ac:dyDescent="0.25">
      <c r="A701" s="2" t="s">
        <v>4439</v>
      </c>
      <c r="B701" s="3">
        <v>44298</v>
      </c>
      <c r="C701" s="2" t="s">
        <v>4440</v>
      </c>
      <c r="D701" t="s">
        <v>6158</v>
      </c>
      <c r="E701" s="2">
        <v>4</v>
      </c>
      <c r="F701" s="2" t="s">
        <v>4441</v>
      </c>
      <c r="G701" s="4" t="s">
        <v>4442</v>
      </c>
      <c r="H701" s="2" t="s">
        <v>19</v>
      </c>
      <c r="I701" s="2" t="s">
        <v>92</v>
      </c>
      <c r="J701">
        <v>0</v>
      </c>
      <c r="K701">
        <v>0</v>
      </c>
      <c r="L701">
        <v>0</v>
      </c>
      <c r="M701">
        <v>0</v>
      </c>
      <c r="N701" s="5">
        <v>0</v>
      </c>
      <c r="O701">
        <v>0</v>
      </c>
    </row>
    <row r="702" spans="1:15" hidden="1" x14ac:dyDescent="0.25">
      <c r="A702" s="2" t="s">
        <v>4445</v>
      </c>
      <c r="B702" s="3">
        <v>43736</v>
      </c>
      <c r="C702" s="2" t="s">
        <v>4446</v>
      </c>
      <c r="D702" t="s">
        <v>6161</v>
      </c>
      <c r="E702" s="2">
        <v>2</v>
      </c>
      <c r="F702" s="2" t="s">
        <v>4447</v>
      </c>
      <c r="G702" s="4" t="s">
        <v>4448</v>
      </c>
      <c r="H702" s="2" t="s">
        <v>19</v>
      </c>
      <c r="I702" s="2" t="s">
        <v>150</v>
      </c>
      <c r="J702">
        <v>0</v>
      </c>
      <c r="K702">
        <v>0</v>
      </c>
      <c r="L702">
        <v>0</v>
      </c>
      <c r="M702">
        <v>0</v>
      </c>
      <c r="N702" s="5">
        <v>0</v>
      </c>
      <c r="O702">
        <v>0</v>
      </c>
    </row>
    <row r="703" spans="1:15" hidden="1" x14ac:dyDescent="0.25">
      <c r="A703" s="2" t="s">
        <v>4450</v>
      </c>
      <c r="B703" s="3">
        <v>44727</v>
      </c>
      <c r="C703" s="2" t="s">
        <v>4451</v>
      </c>
      <c r="D703" t="s">
        <v>6158</v>
      </c>
      <c r="E703" s="2">
        <v>5</v>
      </c>
      <c r="F703" s="2" t="s">
        <v>4452</v>
      </c>
      <c r="G703" s="4" t="s">
        <v>4453</v>
      </c>
      <c r="H703" s="2" t="s">
        <v>318</v>
      </c>
      <c r="I703" s="2" t="s">
        <v>390</v>
      </c>
      <c r="J703">
        <v>0</v>
      </c>
      <c r="K703">
        <v>0</v>
      </c>
      <c r="L703">
        <v>0</v>
      </c>
      <c r="M703">
        <v>0</v>
      </c>
      <c r="N703" s="5">
        <v>0</v>
      </c>
      <c r="O703">
        <v>0</v>
      </c>
    </row>
    <row r="704" spans="1:15" hidden="1" x14ac:dyDescent="0.25">
      <c r="A704" s="2" t="s">
        <v>4456</v>
      </c>
      <c r="B704" s="3">
        <v>43661</v>
      </c>
      <c r="C704" s="2" t="s">
        <v>4457</v>
      </c>
      <c r="D704" t="s">
        <v>6180</v>
      </c>
      <c r="E704" s="2">
        <v>1</v>
      </c>
      <c r="F704" s="2" t="s">
        <v>4458</v>
      </c>
      <c r="G704" s="4" t="s">
        <v>4459</v>
      </c>
      <c r="H704" s="2" t="s">
        <v>19</v>
      </c>
      <c r="I704" s="2" t="s">
        <v>211</v>
      </c>
      <c r="J704">
        <v>0</v>
      </c>
      <c r="K704">
        <v>0</v>
      </c>
      <c r="L704">
        <v>0</v>
      </c>
      <c r="M704">
        <v>0</v>
      </c>
      <c r="N704" s="5">
        <v>0</v>
      </c>
      <c r="O704">
        <v>0</v>
      </c>
    </row>
    <row r="705" spans="1:15" hidden="1" x14ac:dyDescent="0.25">
      <c r="A705" s="2" t="s">
        <v>4461</v>
      </c>
      <c r="B705" s="3">
        <v>43506</v>
      </c>
      <c r="C705" s="2" t="s">
        <v>4462</v>
      </c>
      <c r="D705" t="s">
        <v>6165</v>
      </c>
      <c r="E705" s="2">
        <v>4</v>
      </c>
      <c r="F705" s="2" t="s">
        <v>4463</v>
      </c>
      <c r="G705" s="4">
        <v>0</v>
      </c>
      <c r="H705" s="2" t="s">
        <v>318</v>
      </c>
      <c r="I705" s="2" t="s">
        <v>1282</v>
      </c>
      <c r="J705">
        <v>0</v>
      </c>
      <c r="K705">
        <v>0</v>
      </c>
      <c r="L705">
        <v>0</v>
      </c>
      <c r="M705">
        <v>0</v>
      </c>
      <c r="N705" s="5">
        <v>0</v>
      </c>
      <c r="O705">
        <v>0</v>
      </c>
    </row>
    <row r="706" spans="1:15" hidden="1" x14ac:dyDescent="0.25">
      <c r="A706" s="2" t="s">
        <v>4466</v>
      </c>
      <c r="B706" s="3">
        <v>44716</v>
      </c>
      <c r="C706" s="2" t="s">
        <v>4467</v>
      </c>
      <c r="D706" t="s">
        <v>6153</v>
      </c>
      <c r="E706" s="2">
        <v>6</v>
      </c>
      <c r="F706" s="2" t="s">
        <v>4468</v>
      </c>
      <c r="G706" s="4">
        <v>0</v>
      </c>
      <c r="H706" s="2" t="s">
        <v>19</v>
      </c>
      <c r="I706" s="2" t="s">
        <v>57</v>
      </c>
      <c r="J706">
        <v>0</v>
      </c>
      <c r="K706">
        <v>0</v>
      </c>
      <c r="L706">
        <v>0</v>
      </c>
      <c r="M706">
        <v>0</v>
      </c>
      <c r="N706" s="5">
        <v>0</v>
      </c>
      <c r="O706">
        <v>0</v>
      </c>
    </row>
    <row r="707" spans="1:15" hidden="1" x14ac:dyDescent="0.25">
      <c r="A707" s="2" t="s">
        <v>4471</v>
      </c>
      <c r="B707" s="3">
        <v>44114</v>
      </c>
      <c r="C707" s="2" t="s">
        <v>4472</v>
      </c>
      <c r="D707" t="s">
        <v>6176</v>
      </c>
      <c r="E707" s="2">
        <v>2</v>
      </c>
      <c r="F707" s="2" t="s">
        <v>4473</v>
      </c>
      <c r="G707" s="4" t="s">
        <v>4474</v>
      </c>
      <c r="H707" s="2" t="s">
        <v>19</v>
      </c>
      <c r="I707" s="2" t="s">
        <v>295</v>
      </c>
      <c r="J707">
        <v>0</v>
      </c>
      <c r="K707">
        <v>0</v>
      </c>
      <c r="L707">
        <v>0</v>
      </c>
      <c r="M707">
        <v>0</v>
      </c>
      <c r="N707" s="5">
        <v>0</v>
      </c>
      <c r="O707">
        <v>0</v>
      </c>
    </row>
    <row r="708" spans="1:15" hidden="1" x14ac:dyDescent="0.25">
      <c r="A708" s="2" t="s">
        <v>4477</v>
      </c>
      <c r="B708" s="3">
        <v>44353</v>
      </c>
      <c r="C708" s="2" t="s">
        <v>4478</v>
      </c>
      <c r="D708" t="s">
        <v>6156</v>
      </c>
      <c r="E708" s="2">
        <v>3</v>
      </c>
      <c r="F708" s="2" t="s">
        <v>4479</v>
      </c>
      <c r="G708" s="4" t="s">
        <v>4480</v>
      </c>
      <c r="H708" s="2" t="s">
        <v>19</v>
      </c>
      <c r="I708" s="2" t="s">
        <v>208</v>
      </c>
      <c r="J708">
        <v>0</v>
      </c>
      <c r="K708">
        <v>0</v>
      </c>
      <c r="L708">
        <v>0</v>
      </c>
      <c r="M708">
        <v>0</v>
      </c>
      <c r="N708" s="5">
        <v>0</v>
      </c>
      <c r="O708">
        <v>0</v>
      </c>
    </row>
    <row r="709" spans="1:15" hidden="1" x14ac:dyDescent="0.25">
      <c r="A709" s="2" t="s">
        <v>4483</v>
      </c>
      <c r="B709" s="3">
        <v>43540</v>
      </c>
      <c r="C709" s="2" t="s">
        <v>4484</v>
      </c>
      <c r="D709" t="s">
        <v>6143</v>
      </c>
      <c r="E709" s="2">
        <v>2</v>
      </c>
      <c r="F709" s="2" t="s">
        <v>4485</v>
      </c>
      <c r="G709" s="4">
        <v>0</v>
      </c>
      <c r="H709" s="2" t="s">
        <v>318</v>
      </c>
      <c r="I709" s="2" t="s">
        <v>382</v>
      </c>
      <c r="J709">
        <v>0</v>
      </c>
      <c r="K709">
        <v>0</v>
      </c>
      <c r="L709">
        <v>0</v>
      </c>
      <c r="M709">
        <v>0</v>
      </c>
      <c r="N709" s="5">
        <v>0</v>
      </c>
      <c r="O709">
        <v>0</v>
      </c>
    </row>
    <row r="710" spans="1:15" hidden="1" x14ac:dyDescent="0.25">
      <c r="A710" s="2" t="s">
        <v>4488</v>
      </c>
      <c r="B710" s="3">
        <v>43804</v>
      </c>
      <c r="C710" s="2" t="s">
        <v>4489</v>
      </c>
      <c r="D710" t="s">
        <v>6157</v>
      </c>
      <c r="E710" s="2">
        <v>2</v>
      </c>
      <c r="F710" s="2" t="s">
        <v>4490</v>
      </c>
      <c r="G710" s="4" t="s">
        <v>4491</v>
      </c>
      <c r="H710" s="2" t="s">
        <v>19</v>
      </c>
      <c r="I710" s="2" t="s">
        <v>104</v>
      </c>
      <c r="J710">
        <v>0</v>
      </c>
      <c r="K710">
        <v>0</v>
      </c>
      <c r="L710">
        <v>0</v>
      </c>
      <c r="M710">
        <v>0</v>
      </c>
      <c r="N710" s="5">
        <v>0</v>
      </c>
      <c r="O710">
        <v>0</v>
      </c>
    </row>
    <row r="711" spans="1:15" hidden="1" x14ac:dyDescent="0.25">
      <c r="A711" s="2" t="s">
        <v>4494</v>
      </c>
      <c r="B711" s="3">
        <v>43485</v>
      </c>
      <c r="C711" s="2" t="s">
        <v>4495</v>
      </c>
      <c r="D711" t="s">
        <v>6176</v>
      </c>
      <c r="E711" s="2">
        <v>2</v>
      </c>
      <c r="F711" s="2" t="s">
        <v>4496</v>
      </c>
      <c r="G711" s="4">
        <v>0</v>
      </c>
      <c r="H711" s="2" t="s">
        <v>19</v>
      </c>
      <c r="I711" s="2" t="s">
        <v>66</v>
      </c>
      <c r="J711">
        <v>0</v>
      </c>
      <c r="K711">
        <v>0</v>
      </c>
      <c r="L711">
        <v>0</v>
      </c>
      <c r="M711">
        <v>0</v>
      </c>
      <c r="N711" s="5">
        <v>0</v>
      </c>
      <c r="O711">
        <v>0</v>
      </c>
    </row>
    <row r="712" spans="1:15" hidden="1" x14ac:dyDescent="0.25">
      <c r="A712" s="2" t="s">
        <v>4499</v>
      </c>
      <c r="B712" s="3">
        <v>44655</v>
      </c>
      <c r="C712" s="2" t="s">
        <v>4500</v>
      </c>
      <c r="D712" t="s">
        <v>6139</v>
      </c>
      <c r="E712" s="2">
        <v>3</v>
      </c>
      <c r="F712" s="2" t="s">
        <v>4501</v>
      </c>
      <c r="G712" s="4" t="s">
        <v>4502</v>
      </c>
      <c r="H712" s="2" t="s">
        <v>19</v>
      </c>
      <c r="I712" s="2" t="s">
        <v>200</v>
      </c>
      <c r="J712">
        <v>0</v>
      </c>
      <c r="K712">
        <v>0</v>
      </c>
      <c r="L712">
        <v>0</v>
      </c>
      <c r="M712">
        <v>0</v>
      </c>
      <c r="N712" s="5">
        <v>0</v>
      </c>
      <c r="O712">
        <v>0</v>
      </c>
    </row>
    <row r="713" spans="1:15" hidden="1" x14ac:dyDescent="0.25">
      <c r="A713" s="2" t="s">
        <v>4505</v>
      </c>
      <c r="B713" s="3">
        <v>44600</v>
      </c>
      <c r="C713" s="2" t="s">
        <v>4506</v>
      </c>
      <c r="D713" t="s">
        <v>6174</v>
      </c>
      <c r="E713" s="2">
        <v>6</v>
      </c>
      <c r="F713" s="2" t="s">
        <v>4507</v>
      </c>
      <c r="G713" s="4" t="s">
        <v>4508</v>
      </c>
      <c r="H713" s="2" t="s">
        <v>19</v>
      </c>
      <c r="I713" s="2" t="s">
        <v>4511</v>
      </c>
      <c r="J713">
        <v>0</v>
      </c>
      <c r="K713">
        <v>0</v>
      </c>
      <c r="L713">
        <v>0</v>
      </c>
      <c r="M713">
        <v>0</v>
      </c>
      <c r="N713" s="5">
        <v>0</v>
      </c>
      <c r="O713">
        <v>0</v>
      </c>
    </row>
    <row r="714" spans="1:15" hidden="1" x14ac:dyDescent="0.25">
      <c r="A714" s="2" t="s">
        <v>4512</v>
      </c>
      <c r="B714" s="3">
        <v>43646</v>
      </c>
      <c r="C714" s="2" t="s">
        <v>4513</v>
      </c>
      <c r="D714" t="s">
        <v>6139</v>
      </c>
      <c r="E714" s="2">
        <v>2</v>
      </c>
      <c r="F714" s="2" t="s">
        <v>4514</v>
      </c>
      <c r="G714" s="4">
        <v>0</v>
      </c>
      <c r="H714" s="2" t="s">
        <v>28</v>
      </c>
      <c r="I714" s="2" t="s">
        <v>286</v>
      </c>
      <c r="J714">
        <v>0</v>
      </c>
      <c r="K714">
        <v>0</v>
      </c>
      <c r="L714">
        <v>0</v>
      </c>
      <c r="M714">
        <v>0</v>
      </c>
      <c r="N714" s="5">
        <v>0</v>
      </c>
      <c r="O714">
        <v>0</v>
      </c>
    </row>
    <row r="715" spans="1:15" hidden="1" x14ac:dyDescent="0.25">
      <c r="A715" s="2" t="s">
        <v>4516</v>
      </c>
      <c r="B715" s="3">
        <v>43960</v>
      </c>
      <c r="C715" s="2" t="s">
        <v>4517</v>
      </c>
      <c r="D715" t="s">
        <v>6174</v>
      </c>
      <c r="E715" s="2">
        <v>1</v>
      </c>
      <c r="F715" s="2" t="s">
        <v>4518</v>
      </c>
      <c r="G715" s="4" t="s">
        <v>4519</v>
      </c>
      <c r="H715" s="2" t="s">
        <v>19</v>
      </c>
      <c r="I715" s="2" t="s">
        <v>291</v>
      </c>
      <c r="J715">
        <v>0</v>
      </c>
      <c r="K715">
        <v>0</v>
      </c>
      <c r="L715">
        <v>0</v>
      </c>
      <c r="M715">
        <v>0</v>
      </c>
      <c r="N715" s="5">
        <v>0</v>
      </c>
      <c r="O715">
        <v>0</v>
      </c>
    </row>
    <row r="716" spans="1:15" hidden="1" x14ac:dyDescent="0.25">
      <c r="A716" s="2" t="s">
        <v>4522</v>
      </c>
      <c r="B716" s="3">
        <v>44358</v>
      </c>
      <c r="C716" s="2" t="s">
        <v>4523</v>
      </c>
      <c r="D716" t="s">
        <v>6153</v>
      </c>
      <c r="E716" s="2">
        <v>4</v>
      </c>
      <c r="F716" s="2" t="s">
        <v>4524</v>
      </c>
      <c r="G716" s="4" t="s">
        <v>4525</v>
      </c>
      <c r="H716" s="2" t="s">
        <v>318</v>
      </c>
      <c r="I716" s="2" t="s">
        <v>436</v>
      </c>
      <c r="J716">
        <v>0</v>
      </c>
      <c r="K716">
        <v>0</v>
      </c>
      <c r="L716">
        <v>0</v>
      </c>
      <c r="M716">
        <v>0</v>
      </c>
      <c r="N716" s="5">
        <v>0</v>
      </c>
      <c r="O716">
        <v>0</v>
      </c>
    </row>
    <row r="717" spans="1:15" hidden="1" x14ac:dyDescent="0.25">
      <c r="A717" s="2" t="s">
        <v>4528</v>
      </c>
      <c r="B717" s="3">
        <v>44504</v>
      </c>
      <c r="C717" s="2" t="s">
        <v>4529</v>
      </c>
      <c r="D717" t="s">
        <v>6171</v>
      </c>
      <c r="E717" s="2">
        <v>6</v>
      </c>
      <c r="F717" s="2" t="s">
        <v>4530</v>
      </c>
      <c r="G717" s="4" t="s">
        <v>4531</v>
      </c>
      <c r="H717" s="2" t="s">
        <v>19</v>
      </c>
      <c r="I717" s="2" t="s">
        <v>137</v>
      </c>
      <c r="J717">
        <v>0</v>
      </c>
      <c r="K717">
        <v>0</v>
      </c>
      <c r="L717">
        <v>0</v>
      </c>
      <c r="M717">
        <v>0</v>
      </c>
      <c r="N717" s="5">
        <v>0</v>
      </c>
      <c r="O717">
        <v>0</v>
      </c>
    </row>
    <row r="718" spans="1:15" hidden="1" x14ac:dyDescent="0.25">
      <c r="A718" s="2" t="s">
        <v>4533</v>
      </c>
      <c r="B718" s="3">
        <v>44612</v>
      </c>
      <c r="C718" s="2" t="s">
        <v>4434</v>
      </c>
      <c r="D718" t="s">
        <v>6179</v>
      </c>
      <c r="E718" s="2">
        <v>3</v>
      </c>
      <c r="F718" s="2" t="s">
        <v>4535</v>
      </c>
      <c r="G718" s="4" t="s">
        <v>4536</v>
      </c>
      <c r="H718" s="2" t="s">
        <v>318</v>
      </c>
      <c r="I718" s="2" t="s">
        <v>1447</v>
      </c>
      <c r="J718">
        <v>0</v>
      </c>
      <c r="K718">
        <v>0</v>
      </c>
      <c r="L718">
        <v>0</v>
      </c>
      <c r="M718">
        <v>0</v>
      </c>
      <c r="N718" s="5">
        <v>0</v>
      </c>
      <c r="O718">
        <v>0</v>
      </c>
    </row>
    <row r="719" spans="1:15" hidden="1" x14ac:dyDescent="0.25">
      <c r="A719" s="2" t="s">
        <v>4539</v>
      </c>
      <c r="B719" s="3">
        <v>43649</v>
      </c>
      <c r="C719" s="2" t="s">
        <v>4540</v>
      </c>
      <c r="D719" t="s">
        <v>6168</v>
      </c>
      <c r="E719" s="2">
        <v>3</v>
      </c>
      <c r="F719" s="2" t="s">
        <v>4541</v>
      </c>
      <c r="G719" s="4" t="s">
        <v>4542</v>
      </c>
      <c r="H719" s="2" t="s">
        <v>19</v>
      </c>
      <c r="I719" s="2" t="s">
        <v>46</v>
      </c>
      <c r="J719">
        <v>0</v>
      </c>
      <c r="K719">
        <v>0</v>
      </c>
      <c r="L719">
        <v>0</v>
      </c>
      <c r="M719">
        <v>0</v>
      </c>
      <c r="N719" s="5">
        <v>0</v>
      </c>
      <c r="O719">
        <v>0</v>
      </c>
    </row>
    <row r="720" spans="1:15" hidden="1" x14ac:dyDescent="0.25">
      <c r="A720" s="2" t="s">
        <v>4545</v>
      </c>
      <c r="B720" s="3">
        <v>44348</v>
      </c>
      <c r="C720" s="2" t="s">
        <v>4546</v>
      </c>
      <c r="D720" t="s">
        <v>6143</v>
      </c>
      <c r="E720" s="2">
        <v>3</v>
      </c>
      <c r="F720" s="2" t="s">
        <v>4547</v>
      </c>
      <c r="G720" s="4" t="s">
        <v>4548</v>
      </c>
      <c r="H720" s="2" t="s">
        <v>19</v>
      </c>
      <c r="I720" s="2" t="s">
        <v>467</v>
      </c>
      <c r="J720">
        <v>0</v>
      </c>
      <c r="K720">
        <v>0</v>
      </c>
      <c r="L720">
        <v>0</v>
      </c>
      <c r="M720">
        <v>0</v>
      </c>
      <c r="N720" s="5">
        <v>0</v>
      </c>
      <c r="O720">
        <v>0</v>
      </c>
    </row>
    <row r="721" spans="1:15" hidden="1" x14ac:dyDescent="0.25">
      <c r="A721" s="2" t="s">
        <v>4551</v>
      </c>
      <c r="B721" s="3">
        <v>44150</v>
      </c>
      <c r="C721" s="2" t="s">
        <v>4552</v>
      </c>
      <c r="D721" t="s">
        <v>6170</v>
      </c>
      <c r="E721" s="2">
        <v>5</v>
      </c>
      <c r="F721" s="2" t="s">
        <v>4553</v>
      </c>
      <c r="G721" s="4" t="s">
        <v>4554</v>
      </c>
      <c r="H721" s="2" t="s">
        <v>19</v>
      </c>
      <c r="I721" s="2" t="s">
        <v>27</v>
      </c>
      <c r="J721">
        <v>0</v>
      </c>
      <c r="K721">
        <v>0</v>
      </c>
      <c r="L721">
        <v>0</v>
      </c>
      <c r="M721">
        <v>0</v>
      </c>
      <c r="N721" s="5">
        <v>0</v>
      </c>
      <c r="O721">
        <v>0</v>
      </c>
    </row>
    <row r="722" spans="1:15" hidden="1" x14ac:dyDescent="0.25">
      <c r="A722" s="2" t="s">
        <v>4557</v>
      </c>
      <c r="B722" s="3">
        <v>44215</v>
      </c>
      <c r="C722" s="2" t="s">
        <v>4558</v>
      </c>
      <c r="D722" t="s">
        <v>6144</v>
      </c>
      <c r="E722" s="2">
        <v>5</v>
      </c>
      <c r="F722" s="2" t="s">
        <v>4559</v>
      </c>
      <c r="G722" s="4" t="s">
        <v>4560</v>
      </c>
      <c r="H722" s="2" t="s">
        <v>19</v>
      </c>
      <c r="I722" s="2" t="s">
        <v>174</v>
      </c>
      <c r="J722">
        <v>0</v>
      </c>
      <c r="K722">
        <v>0</v>
      </c>
      <c r="L722">
        <v>0</v>
      </c>
      <c r="M722">
        <v>0</v>
      </c>
      <c r="N722" s="5">
        <v>0</v>
      </c>
      <c r="O722">
        <v>0</v>
      </c>
    </row>
    <row r="723" spans="1:15" hidden="1" x14ac:dyDescent="0.25">
      <c r="A723" s="2" t="s">
        <v>4563</v>
      </c>
      <c r="B723" s="3">
        <v>44479</v>
      </c>
      <c r="C723" s="2" t="s">
        <v>4564</v>
      </c>
      <c r="D723" t="s">
        <v>6174</v>
      </c>
      <c r="E723" s="2">
        <v>3</v>
      </c>
      <c r="F723" s="2" t="s">
        <v>4565</v>
      </c>
      <c r="G723" s="4" t="s">
        <v>4566</v>
      </c>
      <c r="H723" s="2" t="s">
        <v>19</v>
      </c>
      <c r="I723" s="2" t="s">
        <v>209</v>
      </c>
      <c r="J723">
        <v>0</v>
      </c>
      <c r="K723">
        <v>0</v>
      </c>
      <c r="L723">
        <v>0</v>
      </c>
      <c r="M723">
        <v>0</v>
      </c>
      <c r="N723" s="5">
        <v>0</v>
      </c>
      <c r="O723">
        <v>0</v>
      </c>
    </row>
    <row r="724" spans="1:15" hidden="1" x14ac:dyDescent="0.25">
      <c r="A724" s="2" t="s">
        <v>4569</v>
      </c>
      <c r="B724" s="3">
        <v>44620</v>
      </c>
      <c r="C724" s="2" t="s">
        <v>4570</v>
      </c>
      <c r="D724" t="s">
        <v>6183</v>
      </c>
      <c r="E724" s="2">
        <v>2</v>
      </c>
      <c r="F724" s="2" t="s">
        <v>4571</v>
      </c>
      <c r="G724" s="4">
        <v>0</v>
      </c>
      <c r="H724" s="2" t="s">
        <v>19</v>
      </c>
      <c r="I724" s="2" t="s">
        <v>146</v>
      </c>
      <c r="J724">
        <v>0</v>
      </c>
      <c r="K724">
        <v>0</v>
      </c>
      <c r="L724">
        <v>0</v>
      </c>
      <c r="M724">
        <v>0</v>
      </c>
      <c r="N724" s="5">
        <v>0</v>
      </c>
      <c r="O724">
        <v>0</v>
      </c>
    </row>
    <row r="725" spans="1:15" hidden="1" x14ac:dyDescent="0.25">
      <c r="A725" s="2" t="s">
        <v>4574</v>
      </c>
      <c r="B725" s="3">
        <v>44470</v>
      </c>
      <c r="C725" s="2" t="s">
        <v>4575</v>
      </c>
      <c r="D725" t="s">
        <v>6166</v>
      </c>
      <c r="E725" s="2">
        <v>2</v>
      </c>
      <c r="F725" s="2" t="s">
        <v>4576</v>
      </c>
      <c r="G725" s="4" t="s">
        <v>4577</v>
      </c>
      <c r="H725" s="2" t="s">
        <v>19</v>
      </c>
      <c r="I725" s="2" t="s">
        <v>30</v>
      </c>
      <c r="J725">
        <v>0</v>
      </c>
      <c r="K725">
        <v>0</v>
      </c>
      <c r="L725">
        <v>0</v>
      </c>
      <c r="M725">
        <v>0</v>
      </c>
      <c r="N725" s="5">
        <v>0</v>
      </c>
      <c r="O725">
        <v>0</v>
      </c>
    </row>
    <row r="726" spans="1:15" hidden="1" x14ac:dyDescent="0.25">
      <c r="A726" s="2" t="s">
        <v>4580</v>
      </c>
      <c r="B726" s="3">
        <v>44076</v>
      </c>
      <c r="C726" s="2" t="s">
        <v>4581</v>
      </c>
      <c r="D726" t="s">
        <v>6152</v>
      </c>
      <c r="E726" s="2">
        <v>2</v>
      </c>
      <c r="F726" s="2" t="s">
        <v>4582</v>
      </c>
      <c r="G726" s="4">
        <v>0</v>
      </c>
      <c r="H726" s="2" t="s">
        <v>19</v>
      </c>
      <c r="I726" s="2" t="s">
        <v>57</v>
      </c>
      <c r="J726">
        <v>0</v>
      </c>
      <c r="K726">
        <v>0</v>
      </c>
      <c r="L726">
        <v>0</v>
      </c>
      <c r="M726">
        <v>0</v>
      </c>
      <c r="N726" s="5">
        <v>0</v>
      </c>
      <c r="O726">
        <v>0</v>
      </c>
    </row>
    <row r="727" spans="1:15" hidden="1" x14ac:dyDescent="0.25">
      <c r="A727" s="2" t="s">
        <v>4585</v>
      </c>
      <c r="B727" s="3">
        <v>44043</v>
      </c>
      <c r="C727" s="2" t="s">
        <v>4586</v>
      </c>
      <c r="D727" t="s">
        <v>6167</v>
      </c>
      <c r="E727" s="2">
        <v>6</v>
      </c>
      <c r="F727" s="2" t="s">
        <v>4587</v>
      </c>
      <c r="G727" s="4" t="s">
        <v>4588</v>
      </c>
      <c r="H727" s="2" t="s">
        <v>19</v>
      </c>
      <c r="I727" s="2" t="s">
        <v>78</v>
      </c>
      <c r="J727">
        <v>0</v>
      </c>
      <c r="K727">
        <v>0</v>
      </c>
      <c r="L727">
        <v>0</v>
      </c>
      <c r="M727">
        <v>0</v>
      </c>
      <c r="N727" s="5">
        <v>0</v>
      </c>
      <c r="O727">
        <v>0</v>
      </c>
    </row>
    <row r="728" spans="1:15" hidden="1" x14ac:dyDescent="0.25">
      <c r="A728" s="2" t="s">
        <v>4591</v>
      </c>
      <c r="B728" s="3">
        <v>44571</v>
      </c>
      <c r="C728" s="2" t="s">
        <v>4592</v>
      </c>
      <c r="D728" t="s">
        <v>6164</v>
      </c>
      <c r="E728" s="2">
        <v>4</v>
      </c>
      <c r="F728" s="2" t="s">
        <v>4593</v>
      </c>
      <c r="G728" s="4">
        <v>0</v>
      </c>
      <c r="H728" s="2" t="s">
        <v>19</v>
      </c>
      <c r="I728" s="2" t="s">
        <v>277</v>
      </c>
      <c r="J728">
        <v>0</v>
      </c>
      <c r="K728">
        <v>0</v>
      </c>
      <c r="L728">
        <v>0</v>
      </c>
      <c r="M728">
        <v>0</v>
      </c>
      <c r="N728" s="5">
        <v>0</v>
      </c>
      <c r="O728">
        <v>0</v>
      </c>
    </row>
    <row r="729" spans="1:15" hidden="1" x14ac:dyDescent="0.25">
      <c r="A729" s="2" t="s">
        <v>4596</v>
      </c>
      <c r="B729" s="3">
        <v>44264</v>
      </c>
      <c r="C729" s="2" t="s">
        <v>4597</v>
      </c>
      <c r="D729" t="s">
        <v>6146</v>
      </c>
      <c r="E729" s="2">
        <v>5</v>
      </c>
      <c r="F729" s="2" t="s">
        <v>4598</v>
      </c>
      <c r="G729" s="4" t="s">
        <v>4599</v>
      </c>
      <c r="H729" s="2" t="s">
        <v>318</v>
      </c>
      <c r="I729" s="2" t="s">
        <v>331</v>
      </c>
      <c r="J729">
        <v>0</v>
      </c>
      <c r="K729">
        <v>0</v>
      </c>
      <c r="L729">
        <v>0</v>
      </c>
      <c r="M729">
        <v>0</v>
      </c>
      <c r="N729" s="5">
        <v>0</v>
      </c>
      <c r="O729">
        <v>0</v>
      </c>
    </row>
    <row r="730" spans="1:15" hidden="1" x14ac:dyDescent="0.25">
      <c r="A730" s="2" t="s">
        <v>4602</v>
      </c>
      <c r="B730" s="3">
        <v>44155</v>
      </c>
      <c r="C730" s="2" t="s">
        <v>4603</v>
      </c>
      <c r="D730" t="s">
        <v>6144</v>
      </c>
      <c r="E730" s="2">
        <v>3</v>
      </c>
      <c r="F730" s="2" t="s">
        <v>4604</v>
      </c>
      <c r="G730" s="4" t="s">
        <v>4605</v>
      </c>
      <c r="H730" s="2" t="s">
        <v>19</v>
      </c>
      <c r="I730" s="2" t="s">
        <v>122</v>
      </c>
      <c r="J730">
        <v>0</v>
      </c>
      <c r="K730">
        <v>0</v>
      </c>
      <c r="L730">
        <v>0</v>
      </c>
      <c r="M730">
        <v>0</v>
      </c>
      <c r="N730" s="5">
        <v>0</v>
      </c>
      <c r="O730">
        <v>0</v>
      </c>
    </row>
    <row r="731" spans="1:15" hidden="1" x14ac:dyDescent="0.25">
      <c r="A731" s="2" t="s">
        <v>4608</v>
      </c>
      <c r="B731" s="3">
        <v>44634</v>
      </c>
      <c r="C731" s="2" t="s">
        <v>4609</v>
      </c>
      <c r="D731" t="s">
        <v>6159</v>
      </c>
      <c r="E731" s="2">
        <v>1</v>
      </c>
      <c r="F731" s="2" t="s">
        <v>4610</v>
      </c>
      <c r="G731" s="4" t="s">
        <v>4611</v>
      </c>
      <c r="H731" s="2" t="s">
        <v>28</v>
      </c>
      <c r="I731" s="2" t="s">
        <v>81</v>
      </c>
      <c r="J731">
        <v>0</v>
      </c>
      <c r="K731">
        <v>0</v>
      </c>
      <c r="L731">
        <v>0</v>
      </c>
      <c r="M731">
        <v>0</v>
      </c>
      <c r="N731" s="5">
        <v>0</v>
      </c>
      <c r="O731">
        <v>0</v>
      </c>
    </row>
    <row r="732" spans="1:15" hidden="1" x14ac:dyDescent="0.25">
      <c r="A732" s="2" t="s">
        <v>4614</v>
      </c>
      <c r="B732" s="3">
        <v>43475</v>
      </c>
      <c r="C732" s="2" t="s">
        <v>4615</v>
      </c>
      <c r="D732" t="s">
        <v>6164</v>
      </c>
      <c r="E732" s="2">
        <v>1</v>
      </c>
      <c r="F732" s="2" t="s">
        <v>4616</v>
      </c>
      <c r="G732" s="4" t="s">
        <v>4617</v>
      </c>
      <c r="H732" s="2" t="s">
        <v>19</v>
      </c>
      <c r="I732" s="2" t="s">
        <v>107</v>
      </c>
      <c r="J732">
        <v>0</v>
      </c>
      <c r="K732">
        <v>0</v>
      </c>
      <c r="L732">
        <v>0</v>
      </c>
      <c r="M732">
        <v>0</v>
      </c>
      <c r="N732" s="5">
        <v>0</v>
      </c>
      <c r="O732">
        <v>0</v>
      </c>
    </row>
    <row r="733" spans="1:15" hidden="1" x14ac:dyDescent="0.25">
      <c r="A733" s="2" t="s">
        <v>4620</v>
      </c>
      <c r="B733" s="3">
        <v>44222</v>
      </c>
      <c r="C733" s="2" t="s">
        <v>4621</v>
      </c>
      <c r="D733" t="s">
        <v>6150</v>
      </c>
      <c r="E733" s="2">
        <v>4</v>
      </c>
      <c r="F733" s="2" t="s">
        <v>4622</v>
      </c>
      <c r="G733" s="4">
        <v>0</v>
      </c>
      <c r="H733" s="2" t="s">
        <v>19</v>
      </c>
      <c r="I733" s="2" t="s">
        <v>168</v>
      </c>
      <c r="J733">
        <v>0</v>
      </c>
      <c r="K733">
        <v>0</v>
      </c>
      <c r="L733">
        <v>0</v>
      </c>
      <c r="M733">
        <v>0</v>
      </c>
      <c r="N733" s="5">
        <v>0</v>
      </c>
      <c r="O733">
        <v>0</v>
      </c>
    </row>
    <row r="734" spans="1:15" hidden="1" x14ac:dyDescent="0.25">
      <c r="A734" s="2" t="s">
        <v>4625</v>
      </c>
      <c r="B734" s="3">
        <v>44312</v>
      </c>
      <c r="C734" s="2" t="s">
        <v>4626</v>
      </c>
      <c r="D734" t="s">
        <v>6184</v>
      </c>
      <c r="E734" s="2">
        <v>2</v>
      </c>
      <c r="F734" s="2" t="s">
        <v>4627</v>
      </c>
      <c r="G734" s="4" t="s">
        <v>4628</v>
      </c>
      <c r="H734" s="2" t="s">
        <v>19</v>
      </c>
      <c r="I734" s="2" t="s">
        <v>122</v>
      </c>
      <c r="J734">
        <v>0</v>
      </c>
      <c r="K734">
        <v>0</v>
      </c>
      <c r="L734">
        <v>0</v>
      </c>
      <c r="M734">
        <v>0</v>
      </c>
      <c r="N734" s="5">
        <v>0</v>
      </c>
      <c r="O734">
        <v>0</v>
      </c>
    </row>
    <row r="735" spans="1:15" hidden="1" x14ac:dyDescent="0.25">
      <c r="A735" s="2" t="s">
        <v>4631</v>
      </c>
      <c r="B735" s="3">
        <v>44565</v>
      </c>
      <c r="C735" s="2" t="s">
        <v>4632</v>
      </c>
      <c r="D735" t="s">
        <v>6181</v>
      </c>
      <c r="E735" s="2">
        <v>3</v>
      </c>
      <c r="F735" s="2" t="s">
        <v>4633</v>
      </c>
      <c r="G735" s="4" t="s">
        <v>4634</v>
      </c>
      <c r="H735" s="2" t="s">
        <v>19</v>
      </c>
      <c r="I735" s="2" t="s">
        <v>142</v>
      </c>
      <c r="J735">
        <v>0</v>
      </c>
      <c r="K735">
        <v>0</v>
      </c>
      <c r="L735">
        <v>0</v>
      </c>
      <c r="M735">
        <v>0</v>
      </c>
      <c r="N735" s="5">
        <v>0</v>
      </c>
      <c r="O735">
        <v>0</v>
      </c>
    </row>
    <row r="736" spans="1:15" hidden="1" x14ac:dyDescent="0.25">
      <c r="A736" s="2" t="s">
        <v>4637</v>
      </c>
      <c r="B736" s="3">
        <v>43697</v>
      </c>
      <c r="C736" s="2" t="s">
        <v>4638</v>
      </c>
      <c r="D736" t="s">
        <v>6163</v>
      </c>
      <c r="E736" s="2">
        <v>5</v>
      </c>
      <c r="F736" s="2" t="s">
        <v>4639</v>
      </c>
      <c r="G736" s="4">
        <v>0</v>
      </c>
      <c r="H736" s="2" t="s">
        <v>19</v>
      </c>
      <c r="I736" s="2" t="s">
        <v>206</v>
      </c>
      <c r="J736">
        <v>0</v>
      </c>
      <c r="K736">
        <v>0</v>
      </c>
      <c r="L736">
        <v>0</v>
      </c>
      <c r="M736">
        <v>0</v>
      </c>
      <c r="N736" s="5">
        <v>0</v>
      </c>
      <c r="O736">
        <v>0</v>
      </c>
    </row>
    <row r="737" spans="1:15" hidden="1" x14ac:dyDescent="0.25">
      <c r="A737" s="2" t="s">
        <v>4642</v>
      </c>
      <c r="B737" s="3">
        <v>44757</v>
      </c>
      <c r="C737" s="2" t="s">
        <v>4643</v>
      </c>
      <c r="D737" t="s">
        <v>6153</v>
      </c>
      <c r="E737" s="2">
        <v>6</v>
      </c>
      <c r="F737" s="2" t="s">
        <v>4644</v>
      </c>
      <c r="G737" s="4" t="s">
        <v>4645</v>
      </c>
      <c r="H737" s="2" t="s">
        <v>19</v>
      </c>
      <c r="I737" s="2" t="s">
        <v>67</v>
      </c>
      <c r="J737">
        <v>0</v>
      </c>
      <c r="K737">
        <v>0</v>
      </c>
      <c r="L737">
        <v>0</v>
      </c>
      <c r="M737">
        <v>0</v>
      </c>
      <c r="N737" s="5">
        <v>0</v>
      </c>
      <c r="O737">
        <v>0</v>
      </c>
    </row>
    <row r="738" spans="1:15" hidden="1" x14ac:dyDescent="0.25">
      <c r="A738" s="2" t="s">
        <v>4647</v>
      </c>
      <c r="B738" s="3">
        <v>43508</v>
      </c>
      <c r="C738" s="2" t="s">
        <v>4648</v>
      </c>
      <c r="D738" t="s">
        <v>6143</v>
      </c>
      <c r="E738" s="2">
        <v>2</v>
      </c>
      <c r="F738" s="2" t="s">
        <v>4649</v>
      </c>
      <c r="G738" s="4" t="s">
        <v>4650</v>
      </c>
      <c r="H738" s="2" t="s">
        <v>318</v>
      </c>
      <c r="I738" s="2" t="s">
        <v>1282</v>
      </c>
      <c r="J738">
        <v>0</v>
      </c>
      <c r="K738">
        <v>0</v>
      </c>
      <c r="L738">
        <v>0</v>
      </c>
      <c r="M738">
        <v>0</v>
      </c>
      <c r="N738" s="5">
        <v>0</v>
      </c>
      <c r="O738">
        <v>0</v>
      </c>
    </row>
    <row r="739" spans="1:15" hidden="1" x14ac:dyDescent="0.25">
      <c r="A739" s="2" t="s">
        <v>4653</v>
      </c>
      <c r="B739" s="3">
        <v>44447</v>
      </c>
      <c r="C739" s="2" t="s">
        <v>4654</v>
      </c>
      <c r="D739" t="s">
        <v>6155</v>
      </c>
      <c r="E739" s="2">
        <v>5</v>
      </c>
      <c r="F739" s="2" t="s">
        <v>4655</v>
      </c>
      <c r="G739" s="4" t="s">
        <v>4656</v>
      </c>
      <c r="H739" s="2" t="s">
        <v>19</v>
      </c>
      <c r="I739" s="2" t="s">
        <v>51</v>
      </c>
      <c r="J739">
        <v>0</v>
      </c>
      <c r="K739">
        <v>0</v>
      </c>
      <c r="L739">
        <v>0</v>
      </c>
      <c r="M739">
        <v>0</v>
      </c>
      <c r="N739" s="5">
        <v>0</v>
      </c>
      <c r="O739">
        <v>0</v>
      </c>
    </row>
    <row r="740" spans="1:15" hidden="1" x14ac:dyDescent="0.25">
      <c r="A740" s="2" t="s">
        <v>4659</v>
      </c>
      <c r="B740" s="3">
        <v>43812</v>
      </c>
      <c r="C740" s="2" t="s">
        <v>4660</v>
      </c>
      <c r="D740" t="s">
        <v>6178</v>
      </c>
      <c r="E740" s="2">
        <v>3</v>
      </c>
      <c r="F740" s="2" t="s">
        <v>4661</v>
      </c>
      <c r="G740" s="4" t="s">
        <v>4662</v>
      </c>
      <c r="H740" s="2" t="s">
        <v>28</v>
      </c>
      <c r="I740" s="2" t="s">
        <v>264</v>
      </c>
      <c r="J740">
        <v>0</v>
      </c>
      <c r="K740">
        <v>0</v>
      </c>
      <c r="L740">
        <v>0</v>
      </c>
      <c r="M740">
        <v>0</v>
      </c>
      <c r="N740" s="5">
        <v>0</v>
      </c>
      <c r="O740">
        <v>0</v>
      </c>
    </row>
    <row r="741" spans="1:15" hidden="1" x14ac:dyDescent="0.25">
      <c r="A741" s="2" t="s">
        <v>4665</v>
      </c>
      <c r="B741" s="3">
        <v>44433</v>
      </c>
      <c r="C741" s="2" t="s">
        <v>4434</v>
      </c>
      <c r="D741" t="s">
        <v>6153</v>
      </c>
      <c r="E741" s="2">
        <v>5</v>
      </c>
      <c r="F741" s="2" t="s">
        <v>4667</v>
      </c>
      <c r="G741" s="4">
        <v>0</v>
      </c>
      <c r="H741" s="2" t="s">
        <v>19</v>
      </c>
      <c r="I741" s="2" t="s">
        <v>189</v>
      </c>
      <c r="J741">
        <v>0</v>
      </c>
      <c r="K741">
        <v>0</v>
      </c>
      <c r="L741">
        <v>0</v>
      </c>
      <c r="M741">
        <v>0</v>
      </c>
      <c r="N741" s="5">
        <v>0</v>
      </c>
      <c r="O741">
        <v>0</v>
      </c>
    </row>
    <row r="742" spans="1:15" hidden="1" x14ac:dyDescent="0.25">
      <c r="A742" s="2" t="s">
        <v>4670</v>
      </c>
      <c r="B742" s="3">
        <v>44643</v>
      </c>
      <c r="C742" s="2" t="s">
        <v>4671</v>
      </c>
      <c r="D742" t="s">
        <v>6173</v>
      </c>
      <c r="E742" s="2">
        <v>4</v>
      </c>
      <c r="F742" s="2" t="s">
        <v>4672</v>
      </c>
      <c r="G742" s="4" t="s">
        <v>4673</v>
      </c>
      <c r="H742" s="2" t="s">
        <v>318</v>
      </c>
      <c r="I742" s="2" t="s">
        <v>382</v>
      </c>
      <c r="J742">
        <v>0</v>
      </c>
      <c r="K742">
        <v>0</v>
      </c>
      <c r="L742">
        <v>0</v>
      </c>
      <c r="M742">
        <v>0</v>
      </c>
      <c r="N742" s="5">
        <v>0</v>
      </c>
      <c r="O742">
        <v>0</v>
      </c>
    </row>
    <row r="743" spans="1:15" hidden="1" x14ac:dyDescent="0.25">
      <c r="A743" s="2" t="s">
        <v>4676</v>
      </c>
      <c r="B743" s="3">
        <v>43566</v>
      </c>
      <c r="C743" s="2" t="s">
        <v>4677</v>
      </c>
      <c r="D743" t="s">
        <v>6159</v>
      </c>
      <c r="E743" s="2">
        <v>2</v>
      </c>
      <c r="F743" s="2" t="s">
        <v>4678</v>
      </c>
      <c r="G743" s="4" t="s">
        <v>4679</v>
      </c>
      <c r="H743" s="2" t="s">
        <v>19</v>
      </c>
      <c r="I743" s="2" t="s">
        <v>256</v>
      </c>
      <c r="J743">
        <v>0</v>
      </c>
      <c r="K743">
        <v>0</v>
      </c>
      <c r="L743">
        <v>0</v>
      </c>
      <c r="M743">
        <v>0</v>
      </c>
      <c r="N743" s="5">
        <v>0</v>
      </c>
      <c r="O743">
        <v>0</v>
      </c>
    </row>
    <row r="744" spans="1:15" hidden="1" x14ac:dyDescent="0.25">
      <c r="A744" s="2" t="s">
        <v>4682</v>
      </c>
      <c r="B744" s="3">
        <v>44133</v>
      </c>
      <c r="C744" s="2" t="s">
        <v>4683</v>
      </c>
      <c r="D744" t="s">
        <v>6162</v>
      </c>
      <c r="E744" s="2">
        <v>4</v>
      </c>
      <c r="F744" s="2" t="s">
        <v>4684</v>
      </c>
      <c r="G744" s="4" t="s">
        <v>4685</v>
      </c>
      <c r="H744" s="2" t="s">
        <v>19</v>
      </c>
      <c r="I744" s="2" t="s">
        <v>23</v>
      </c>
      <c r="J744">
        <v>0</v>
      </c>
      <c r="K744">
        <v>0</v>
      </c>
      <c r="L744">
        <v>0</v>
      </c>
      <c r="M744">
        <v>0</v>
      </c>
      <c r="N744" s="5">
        <v>0</v>
      </c>
      <c r="O744">
        <v>0</v>
      </c>
    </row>
    <row r="745" spans="1:15" hidden="1" x14ac:dyDescent="0.25">
      <c r="A745" s="2" t="s">
        <v>4688</v>
      </c>
      <c r="B745" s="3">
        <v>44042</v>
      </c>
      <c r="C745" s="2" t="s">
        <v>4689</v>
      </c>
      <c r="D745" t="s">
        <v>6158</v>
      </c>
      <c r="E745" s="2">
        <v>3</v>
      </c>
      <c r="F745" s="2" t="s">
        <v>4690</v>
      </c>
      <c r="G745" s="4" t="s">
        <v>4691</v>
      </c>
      <c r="H745" s="2" t="s">
        <v>19</v>
      </c>
      <c r="I745" s="2" t="s">
        <v>80</v>
      </c>
      <c r="J745">
        <v>0</v>
      </c>
      <c r="K745">
        <v>0</v>
      </c>
      <c r="L745">
        <v>0</v>
      </c>
      <c r="M745">
        <v>0</v>
      </c>
      <c r="N745" s="5">
        <v>0</v>
      </c>
      <c r="O745">
        <v>0</v>
      </c>
    </row>
    <row r="746" spans="1:15" hidden="1" x14ac:dyDescent="0.25">
      <c r="A746" s="2" t="s">
        <v>4694</v>
      </c>
      <c r="B746" s="3">
        <v>43539</v>
      </c>
      <c r="C746" s="2" t="s">
        <v>4695</v>
      </c>
      <c r="D746" t="s">
        <v>6174</v>
      </c>
      <c r="E746" s="2">
        <v>6</v>
      </c>
      <c r="F746" s="2" t="s">
        <v>4696</v>
      </c>
      <c r="G746" s="4">
        <v>0</v>
      </c>
      <c r="H746" s="2" t="s">
        <v>19</v>
      </c>
      <c r="I746" s="2" t="s">
        <v>41</v>
      </c>
      <c r="J746">
        <v>0</v>
      </c>
      <c r="K746">
        <v>0</v>
      </c>
      <c r="L746">
        <v>0</v>
      </c>
      <c r="M746">
        <v>0</v>
      </c>
      <c r="N746" s="5">
        <v>0</v>
      </c>
      <c r="O746">
        <v>0</v>
      </c>
    </row>
    <row r="747" spans="1:15" hidden="1" x14ac:dyDescent="0.25">
      <c r="A747" s="2" t="s">
        <v>4699</v>
      </c>
      <c r="B747" s="3">
        <v>44557</v>
      </c>
      <c r="C747" s="2" t="s">
        <v>4700</v>
      </c>
      <c r="D747" t="s">
        <v>6144</v>
      </c>
      <c r="E747" s="2">
        <v>2</v>
      </c>
      <c r="F747" s="2" t="s">
        <v>4701</v>
      </c>
      <c r="G747" s="4" t="s">
        <v>4702</v>
      </c>
      <c r="H747" s="2" t="s">
        <v>318</v>
      </c>
      <c r="I747" s="2" t="s">
        <v>483</v>
      </c>
      <c r="J747">
        <v>0</v>
      </c>
      <c r="K747">
        <v>0</v>
      </c>
      <c r="L747">
        <v>0</v>
      </c>
      <c r="M747">
        <v>0</v>
      </c>
      <c r="N747" s="5">
        <v>0</v>
      </c>
      <c r="O747">
        <v>0</v>
      </c>
    </row>
    <row r="748" spans="1:15" hidden="1" x14ac:dyDescent="0.25">
      <c r="A748" s="2" t="s">
        <v>4705</v>
      </c>
      <c r="B748" s="3">
        <v>43741</v>
      </c>
      <c r="C748" s="2" t="s">
        <v>4706</v>
      </c>
      <c r="D748" t="s">
        <v>6155</v>
      </c>
      <c r="E748" s="2">
        <v>3</v>
      </c>
      <c r="F748" s="2" t="s">
        <v>4707</v>
      </c>
      <c r="G748" s="4" t="s">
        <v>4708</v>
      </c>
      <c r="H748" s="2" t="s">
        <v>318</v>
      </c>
      <c r="I748" s="2" t="s">
        <v>459</v>
      </c>
      <c r="J748">
        <v>0</v>
      </c>
      <c r="K748">
        <v>0</v>
      </c>
      <c r="L748">
        <v>0</v>
      </c>
      <c r="M748">
        <v>0</v>
      </c>
      <c r="N748" s="5">
        <v>0</v>
      </c>
      <c r="O748">
        <v>0</v>
      </c>
    </row>
    <row r="749" spans="1:15" hidden="1" x14ac:dyDescent="0.25">
      <c r="A749" s="2" t="s">
        <v>4711</v>
      </c>
      <c r="B749" s="3">
        <v>43501</v>
      </c>
      <c r="C749" s="2" t="s">
        <v>4712</v>
      </c>
      <c r="D749" t="s">
        <v>6160</v>
      </c>
      <c r="E749" s="2">
        <v>4</v>
      </c>
      <c r="F749" s="2" t="s">
        <v>4713</v>
      </c>
      <c r="G749" s="4" t="s">
        <v>4714</v>
      </c>
      <c r="H749" s="2" t="s">
        <v>318</v>
      </c>
      <c r="I749" s="2" t="s">
        <v>430</v>
      </c>
      <c r="J749">
        <v>0</v>
      </c>
      <c r="K749">
        <v>0</v>
      </c>
      <c r="L749">
        <v>0</v>
      </c>
      <c r="M749">
        <v>0</v>
      </c>
      <c r="N749" s="5">
        <v>0</v>
      </c>
      <c r="O749">
        <v>0</v>
      </c>
    </row>
    <row r="750" spans="1:15" hidden="1" x14ac:dyDescent="0.25">
      <c r="A750" s="2" t="s">
        <v>4717</v>
      </c>
      <c r="B750" s="3">
        <v>44074</v>
      </c>
      <c r="C750" s="2" t="s">
        <v>4718</v>
      </c>
      <c r="D750" t="s">
        <v>6144</v>
      </c>
      <c r="E750" s="2">
        <v>2</v>
      </c>
      <c r="F750" s="2" t="s">
        <v>4719</v>
      </c>
      <c r="G750" s="4" t="s">
        <v>4720</v>
      </c>
      <c r="H750" s="2" t="s">
        <v>19</v>
      </c>
      <c r="I750" s="2" t="s">
        <v>38</v>
      </c>
      <c r="J750">
        <v>0</v>
      </c>
      <c r="K750">
        <v>0</v>
      </c>
      <c r="L750">
        <v>0</v>
      </c>
      <c r="M750">
        <v>0</v>
      </c>
      <c r="N750" s="5">
        <v>0</v>
      </c>
      <c r="O750">
        <v>0</v>
      </c>
    </row>
    <row r="751" spans="1:15" hidden="1" x14ac:dyDescent="0.25">
      <c r="A751" s="2" t="s">
        <v>4723</v>
      </c>
      <c r="B751" s="3">
        <v>44209</v>
      </c>
      <c r="C751" s="2" t="s">
        <v>4724</v>
      </c>
      <c r="D751" t="s">
        <v>6163</v>
      </c>
      <c r="E751" s="2">
        <v>2</v>
      </c>
      <c r="F751" s="2" t="s">
        <v>4725</v>
      </c>
      <c r="G751" s="4" t="s">
        <v>4726</v>
      </c>
      <c r="H751" s="2" t="s">
        <v>318</v>
      </c>
      <c r="I751" s="2" t="s">
        <v>4729</v>
      </c>
      <c r="J751">
        <v>0</v>
      </c>
      <c r="K751">
        <v>0</v>
      </c>
      <c r="L751">
        <v>0</v>
      </c>
      <c r="M751">
        <v>0</v>
      </c>
      <c r="N751" s="5">
        <v>0</v>
      </c>
      <c r="O751">
        <v>0</v>
      </c>
    </row>
    <row r="752" spans="1:15" hidden="1" x14ac:dyDescent="0.25">
      <c r="A752" s="2" t="s">
        <v>4730</v>
      </c>
      <c r="B752" s="3">
        <v>44277</v>
      </c>
      <c r="C752" s="2" t="s">
        <v>4731</v>
      </c>
      <c r="D752" t="s">
        <v>6146</v>
      </c>
      <c r="E752" s="2">
        <v>1</v>
      </c>
      <c r="F752" s="2" t="s">
        <v>4732</v>
      </c>
      <c r="G752" s="4">
        <v>0</v>
      </c>
      <c r="H752" s="2" t="s">
        <v>19</v>
      </c>
      <c r="I752" s="2" t="s">
        <v>106</v>
      </c>
      <c r="J752">
        <v>0</v>
      </c>
      <c r="K752">
        <v>0</v>
      </c>
      <c r="L752">
        <v>0</v>
      </c>
      <c r="M752">
        <v>0</v>
      </c>
      <c r="N752" s="5">
        <v>0</v>
      </c>
      <c r="O752">
        <v>0</v>
      </c>
    </row>
    <row r="753" spans="1:15" hidden="1" x14ac:dyDescent="0.25">
      <c r="A753" s="2" t="s">
        <v>4735</v>
      </c>
      <c r="B753" s="3">
        <v>43847</v>
      </c>
      <c r="C753" s="2" t="s">
        <v>4736</v>
      </c>
      <c r="D753" t="s">
        <v>6161</v>
      </c>
      <c r="E753" s="2">
        <v>2</v>
      </c>
      <c r="F753" s="2" t="s">
        <v>4737</v>
      </c>
      <c r="G753" s="4" t="s">
        <v>4738</v>
      </c>
      <c r="H753" s="2" t="s">
        <v>19</v>
      </c>
      <c r="I753" s="2" t="s">
        <v>139</v>
      </c>
      <c r="J753">
        <v>0</v>
      </c>
      <c r="K753">
        <v>0</v>
      </c>
      <c r="L753">
        <v>0</v>
      </c>
      <c r="M753">
        <v>0</v>
      </c>
      <c r="N753" s="5">
        <v>0</v>
      </c>
      <c r="O753">
        <v>0</v>
      </c>
    </row>
    <row r="754" spans="1:15" hidden="1" x14ac:dyDescent="0.25">
      <c r="A754" s="2" t="s">
        <v>4741</v>
      </c>
      <c r="B754" s="3">
        <v>43648</v>
      </c>
      <c r="C754" s="2" t="s">
        <v>4742</v>
      </c>
      <c r="D754" t="s">
        <v>6141</v>
      </c>
      <c r="E754" s="2">
        <v>2</v>
      </c>
      <c r="F754" s="2" t="s">
        <v>4743</v>
      </c>
      <c r="G754" s="4" t="s">
        <v>4744</v>
      </c>
      <c r="H754" s="2" t="s">
        <v>19</v>
      </c>
      <c r="I754" s="2" t="s">
        <v>106</v>
      </c>
      <c r="J754">
        <v>0</v>
      </c>
      <c r="K754">
        <v>0</v>
      </c>
      <c r="L754">
        <v>0</v>
      </c>
      <c r="M754">
        <v>0</v>
      </c>
      <c r="N754" s="5">
        <v>0</v>
      </c>
      <c r="O754">
        <v>0</v>
      </c>
    </row>
    <row r="755" spans="1:15" hidden="1" x14ac:dyDescent="0.25">
      <c r="A755" s="2" t="s">
        <v>4747</v>
      </c>
      <c r="B755" s="3">
        <v>44704</v>
      </c>
      <c r="C755" s="2" t="s">
        <v>4748</v>
      </c>
      <c r="D755" t="s">
        <v>6158</v>
      </c>
      <c r="E755" s="2">
        <v>5</v>
      </c>
      <c r="F755" s="2" t="s">
        <v>4749</v>
      </c>
      <c r="G755" s="4" t="s">
        <v>4750</v>
      </c>
      <c r="H755" s="2" t="s">
        <v>19</v>
      </c>
      <c r="I755" s="2" t="s">
        <v>184</v>
      </c>
      <c r="J755">
        <v>0</v>
      </c>
      <c r="K755">
        <v>0</v>
      </c>
      <c r="L755">
        <v>0</v>
      </c>
      <c r="M755">
        <v>0</v>
      </c>
      <c r="N755" s="5">
        <v>0</v>
      </c>
      <c r="O755">
        <v>0</v>
      </c>
    </row>
    <row r="756" spans="1:15" hidden="1" x14ac:dyDescent="0.25">
      <c r="A756" s="2" t="s">
        <v>4753</v>
      </c>
      <c r="B756" s="3">
        <v>44726</v>
      </c>
      <c r="C756" s="2" t="s">
        <v>4434</v>
      </c>
      <c r="D756" t="s">
        <v>6154</v>
      </c>
      <c r="E756" s="2">
        <v>6</v>
      </c>
      <c r="F756" s="2" t="s">
        <v>4755</v>
      </c>
      <c r="G756" s="4" t="s">
        <v>4756</v>
      </c>
      <c r="H756" s="2" t="s">
        <v>19</v>
      </c>
      <c r="I756" s="2" t="s">
        <v>47</v>
      </c>
      <c r="J756">
        <v>0</v>
      </c>
      <c r="K756">
        <v>0</v>
      </c>
      <c r="L756">
        <v>0</v>
      </c>
      <c r="M756">
        <v>0</v>
      </c>
      <c r="N756" s="5">
        <v>0</v>
      </c>
      <c r="O756">
        <v>0</v>
      </c>
    </row>
    <row r="757" spans="1:15" hidden="1" x14ac:dyDescent="0.25">
      <c r="A757" s="2" t="s">
        <v>4758</v>
      </c>
      <c r="B757" s="3">
        <v>44397</v>
      </c>
      <c r="C757" s="2" t="s">
        <v>4759</v>
      </c>
      <c r="D757" t="s">
        <v>6145</v>
      </c>
      <c r="E757" s="2">
        <v>6</v>
      </c>
      <c r="F757" s="2" t="s">
        <v>4760</v>
      </c>
      <c r="G757" s="4" t="s">
        <v>4761</v>
      </c>
      <c r="H757" s="2" t="s">
        <v>19</v>
      </c>
      <c r="I757" s="2" t="s">
        <v>52</v>
      </c>
      <c r="J757">
        <v>0</v>
      </c>
      <c r="K757">
        <v>0</v>
      </c>
      <c r="L757">
        <v>0</v>
      </c>
      <c r="M757">
        <v>0</v>
      </c>
      <c r="N757" s="5">
        <v>0</v>
      </c>
      <c r="O757">
        <v>0</v>
      </c>
    </row>
    <row r="758" spans="1:15" hidden="1" x14ac:dyDescent="0.25">
      <c r="A758" s="2" t="s">
        <v>4764</v>
      </c>
      <c r="B758" s="3">
        <v>44715</v>
      </c>
      <c r="C758" s="2" t="s">
        <v>4765</v>
      </c>
      <c r="D758" t="s">
        <v>6177</v>
      </c>
      <c r="E758" s="2">
        <v>4</v>
      </c>
      <c r="F758" s="2" t="s">
        <v>4766</v>
      </c>
      <c r="G758" s="4" t="s">
        <v>4767</v>
      </c>
      <c r="H758" s="2" t="s">
        <v>19</v>
      </c>
      <c r="I758" s="2" t="s">
        <v>171</v>
      </c>
      <c r="J758">
        <v>0</v>
      </c>
      <c r="K758">
        <v>0</v>
      </c>
      <c r="L758">
        <v>0</v>
      </c>
      <c r="M758">
        <v>0</v>
      </c>
      <c r="N758" s="5">
        <v>0</v>
      </c>
      <c r="O758">
        <v>0</v>
      </c>
    </row>
    <row r="759" spans="1:15" hidden="1" x14ac:dyDescent="0.25">
      <c r="A759" s="2" t="s">
        <v>4770</v>
      </c>
      <c r="B759" s="3">
        <v>43977</v>
      </c>
      <c r="C759" s="2" t="s">
        <v>4771</v>
      </c>
      <c r="D759" t="s">
        <v>6158</v>
      </c>
      <c r="E759" s="2">
        <v>3</v>
      </c>
      <c r="F759" s="2" t="s">
        <v>4772</v>
      </c>
      <c r="G759" s="4" t="s">
        <v>4773</v>
      </c>
      <c r="H759" s="2" t="s">
        <v>19</v>
      </c>
      <c r="I759" s="2" t="s">
        <v>252</v>
      </c>
      <c r="J759">
        <v>0</v>
      </c>
      <c r="K759">
        <v>0</v>
      </c>
      <c r="L759">
        <v>0</v>
      </c>
      <c r="M759">
        <v>0</v>
      </c>
      <c r="N759" s="5">
        <v>0</v>
      </c>
      <c r="O759">
        <v>0</v>
      </c>
    </row>
    <row r="760" spans="1:15" hidden="1" x14ac:dyDescent="0.25">
      <c r="A760" s="2" t="s">
        <v>4776</v>
      </c>
      <c r="B760" s="3">
        <v>43672</v>
      </c>
      <c r="C760" s="2" t="s">
        <v>4777</v>
      </c>
      <c r="D760" t="s">
        <v>6177</v>
      </c>
      <c r="E760" s="2">
        <v>1</v>
      </c>
      <c r="F760" s="2" t="s">
        <v>4778</v>
      </c>
      <c r="G760" s="4" t="s">
        <v>4779</v>
      </c>
      <c r="H760" s="2" t="s">
        <v>19</v>
      </c>
      <c r="I760" s="2" t="s">
        <v>104</v>
      </c>
      <c r="J760">
        <v>0</v>
      </c>
      <c r="K760">
        <v>0</v>
      </c>
      <c r="L760">
        <v>0</v>
      </c>
      <c r="M760">
        <v>0</v>
      </c>
      <c r="N760" s="5">
        <v>0</v>
      </c>
      <c r="O760">
        <v>0</v>
      </c>
    </row>
    <row r="761" spans="1:15" hidden="1" x14ac:dyDescent="0.25">
      <c r="A761" s="2" t="s">
        <v>4781</v>
      </c>
      <c r="B761" s="3">
        <v>44126</v>
      </c>
      <c r="C761" s="2" t="s">
        <v>4782</v>
      </c>
      <c r="D761" t="s">
        <v>6165</v>
      </c>
      <c r="E761" s="2">
        <v>1</v>
      </c>
      <c r="F761" s="2" t="s">
        <v>4783</v>
      </c>
      <c r="G761" s="4" t="s">
        <v>4784</v>
      </c>
      <c r="H761" s="2" t="s">
        <v>19</v>
      </c>
      <c r="I761" s="2" t="s">
        <v>155</v>
      </c>
      <c r="J761">
        <v>0</v>
      </c>
      <c r="K761">
        <v>0</v>
      </c>
      <c r="L761">
        <v>0</v>
      </c>
      <c r="M761">
        <v>0</v>
      </c>
      <c r="N761" s="5">
        <v>0</v>
      </c>
      <c r="O761">
        <v>0</v>
      </c>
    </row>
    <row r="762" spans="1:15" hidden="1" x14ac:dyDescent="0.25">
      <c r="A762" s="2" t="s">
        <v>4787</v>
      </c>
      <c r="B762" s="3">
        <v>44189</v>
      </c>
      <c r="C762" s="2" t="s">
        <v>4788</v>
      </c>
      <c r="D762" t="s">
        <v>6176</v>
      </c>
      <c r="E762" s="2">
        <v>5</v>
      </c>
      <c r="F762" s="2" t="s">
        <v>4789</v>
      </c>
      <c r="G762" s="4" t="s">
        <v>4790</v>
      </c>
      <c r="H762" s="2" t="s">
        <v>19</v>
      </c>
      <c r="I762" s="2" t="s">
        <v>82</v>
      </c>
      <c r="J762">
        <v>0</v>
      </c>
      <c r="K762">
        <v>0</v>
      </c>
      <c r="L762">
        <v>0</v>
      </c>
      <c r="M762">
        <v>0</v>
      </c>
      <c r="N762" s="5">
        <v>0</v>
      </c>
      <c r="O762">
        <v>0</v>
      </c>
    </row>
    <row r="763" spans="1:15" hidden="1" x14ac:dyDescent="0.25">
      <c r="A763" s="2" t="s">
        <v>4792</v>
      </c>
      <c r="B763" s="3">
        <v>43714</v>
      </c>
      <c r="C763" s="2" t="s">
        <v>4793</v>
      </c>
      <c r="D763" t="s">
        <v>6171</v>
      </c>
      <c r="E763" s="2">
        <v>6</v>
      </c>
      <c r="F763" s="2" t="s">
        <v>4794</v>
      </c>
      <c r="G763" s="4" t="s">
        <v>4795</v>
      </c>
      <c r="H763" s="2" t="s">
        <v>19</v>
      </c>
      <c r="I763" s="2" t="s">
        <v>99</v>
      </c>
      <c r="J763">
        <v>0</v>
      </c>
      <c r="K763">
        <v>0</v>
      </c>
      <c r="L763">
        <v>0</v>
      </c>
      <c r="M763">
        <v>0</v>
      </c>
      <c r="N763" s="5">
        <v>0</v>
      </c>
      <c r="O763">
        <v>0</v>
      </c>
    </row>
    <row r="764" spans="1:15" hidden="1" x14ac:dyDescent="0.25">
      <c r="A764" s="2" t="s">
        <v>4797</v>
      </c>
      <c r="B764" s="3">
        <v>43563</v>
      </c>
      <c r="C764" s="2" t="s">
        <v>4798</v>
      </c>
      <c r="D764" t="s">
        <v>6160</v>
      </c>
      <c r="E764" s="2">
        <v>5</v>
      </c>
      <c r="F764" s="2" t="s">
        <v>4799</v>
      </c>
      <c r="G764" s="4" t="s">
        <v>4800</v>
      </c>
      <c r="H764" s="2" t="s">
        <v>28</v>
      </c>
      <c r="I764" s="2" t="s">
        <v>159</v>
      </c>
      <c r="J764">
        <v>0</v>
      </c>
      <c r="K764">
        <v>0</v>
      </c>
      <c r="L764">
        <v>0</v>
      </c>
      <c r="M764">
        <v>0</v>
      </c>
      <c r="N764" s="5">
        <v>0</v>
      </c>
      <c r="O764">
        <v>0</v>
      </c>
    </row>
    <row r="765" spans="1:15" hidden="1" x14ac:dyDescent="0.25">
      <c r="A765" s="2" t="s">
        <v>4803</v>
      </c>
      <c r="B765" s="3">
        <v>44587</v>
      </c>
      <c r="C765" s="2" t="s">
        <v>4804</v>
      </c>
      <c r="D765" t="s">
        <v>6180</v>
      </c>
      <c r="E765" s="2">
        <v>3</v>
      </c>
      <c r="F765" s="2" t="s">
        <v>4805</v>
      </c>
      <c r="G765" s="4">
        <v>0</v>
      </c>
      <c r="H765" s="2" t="s">
        <v>19</v>
      </c>
      <c r="I765" s="2" t="s">
        <v>106</v>
      </c>
      <c r="J765">
        <v>0</v>
      </c>
      <c r="K765">
        <v>0</v>
      </c>
      <c r="L765">
        <v>0</v>
      </c>
      <c r="M765">
        <v>0</v>
      </c>
      <c r="N765" s="5">
        <v>0</v>
      </c>
      <c r="O765">
        <v>0</v>
      </c>
    </row>
    <row r="766" spans="1:15" hidden="1" x14ac:dyDescent="0.25">
      <c r="A766" s="2" t="s">
        <v>4808</v>
      </c>
      <c r="B766" s="3">
        <v>43797</v>
      </c>
      <c r="C766" s="2" t="s">
        <v>4809</v>
      </c>
      <c r="D766" t="s">
        <v>6182</v>
      </c>
      <c r="E766" s="2">
        <v>6</v>
      </c>
      <c r="F766" s="2" t="s">
        <v>4810</v>
      </c>
      <c r="G766" s="4" t="s">
        <v>4811</v>
      </c>
      <c r="H766" s="2" t="s">
        <v>19</v>
      </c>
      <c r="I766" s="2" t="s">
        <v>97</v>
      </c>
      <c r="J766">
        <v>0</v>
      </c>
      <c r="K766">
        <v>0</v>
      </c>
      <c r="L766">
        <v>0</v>
      </c>
      <c r="M766">
        <v>0</v>
      </c>
      <c r="N766" s="5">
        <v>0</v>
      </c>
      <c r="O766">
        <v>0</v>
      </c>
    </row>
    <row r="767" spans="1:15" hidden="1" x14ac:dyDescent="0.25">
      <c r="A767" s="2" t="s">
        <v>4814</v>
      </c>
      <c r="B767" s="3">
        <v>43667</v>
      </c>
      <c r="C767" s="2" t="s">
        <v>4815</v>
      </c>
      <c r="D767" t="s">
        <v>6138</v>
      </c>
      <c r="E767" s="2">
        <v>6</v>
      </c>
      <c r="F767" s="2" t="s">
        <v>4816</v>
      </c>
      <c r="G767" s="4" t="s">
        <v>4817</v>
      </c>
      <c r="H767" s="2" t="s">
        <v>19</v>
      </c>
      <c r="I767" s="2" t="s">
        <v>115</v>
      </c>
      <c r="J767">
        <v>0</v>
      </c>
      <c r="K767">
        <v>0</v>
      </c>
      <c r="L767">
        <v>0</v>
      </c>
      <c r="M767">
        <v>0</v>
      </c>
      <c r="N767" s="5">
        <v>0</v>
      </c>
      <c r="O767">
        <v>0</v>
      </c>
    </row>
    <row r="768" spans="1:15" hidden="1" x14ac:dyDescent="0.25">
      <c r="A768" s="2" t="s">
        <v>4814</v>
      </c>
      <c r="B768" s="3">
        <v>43667</v>
      </c>
      <c r="C768" s="2" t="s">
        <v>4815</v>
      </c>
      <c r="D768" t="s">
        <v>6180</v>
      </c>
      <c r="E768" s="2">
        <v>2</v>
      </c>
      <c r="F768" s="2" t="s">
        <v>4821</v>
      </c>
      <c r="G768" s="4" t="s">
        <v>4822</v>
      </c>
      <c r="H768" s="2" t="s">
        <v>19</v>
      </c>
      <c r="I768" s="2" t="s">
        <v>39</v>
      </c>
      <c r="J768">
        <v>0</v>
      </c>
      <c r="K768">
        <v>0</v>
      </c>
      <c r="L768">
        <v>0</v>
      </c>
      <c r="M768">
        <v>0</v>
      </c>
      <c r="N768" s="5">
        <v>0</v>
      </c>
      <c r="O768">
        <v>0</v>
      </c>
    </row>
    <row r="769" spans="1:15" hidden="1" x14ac:dyDescent="0.25">
      <c r="A769" s="2" t="s">
        <v>4825</v>
      </c>
      <c r="B769" s="3">
        <v>44267</v>
      </c>
      <c r="C769" s="2" t="s">
        <v>4759</v>
      </c>
      <c r="D769" t="s">
        <v>6182</v>
      </c>
      <c r="E769" s="2">
        <v>3</v>
      </c>
      <c r="F769" s="2" t="s">
        <v>4827</v>
      </c>
      <c r="G769" s="4" t="s">
        <v>4828</v>
      </c>
      <c r="H769" s="2" t="s">
        <v>19</v>
      </c>
      <c r="I769" s="2" t="s">
        <v>123</v>
      </c>
      <c r="J769">
        <v>0</v>
      </c>
      <c r="K769">
        <v>0</v>
      </c>
      <c r="L769">
        <v>0</v>
      </c>
      <c r="M769">
        <v>0</v>
      </c>
      <c r="N769" s="5">
        <v>0</v>
      </c>
      <c r="O769">
        <v>0</v>
      </c>
    </row>
    <row r="770" spans="1:15" hidden="1" x14ac:dyDescent="0.25">
      <c r="A770" s="2" t="s">
        <v>4831</v>
      </c>
      <c r="B770" s="3">
        <v>44562</v>
      </c>
      <c r="C770" s="2" t="s">
        <v>4759</v>
      </c>
      <c r="D770" t="s">
        <v>6179</v>
      </c>
      <c r="E770" s="2">
        <v>2</v>
      </c>
      <c r="F770" s="2" t="s">
        <v>4833</v>
      </c>
      <c r="G770" s="4">
        <v>0</v>
      </c>
      <c r="H770" s="2" t="s">
        <v>19</v>
      </c>
      <c r="I770" s="2" t="s">
        <v>187</v>
      </c>
      <c r="J770">
        <v>0</v>
      </c>
      <c r="K770">
        <v>0</v>
      </c>
      <c r="L770">
        <v>0</v>
      </c>
      <c r="M770">
        <v>0</v>
      </c>
      <c r="N770" s="5">
        <v>0</v>
      </c>
      <c r="O770">
        <v>0</v>
      </c>
    </row>
    <row r="771" spans="1:15" hidden="1" x14ac:dyDescent="0.25">
      <c r="A771" s="2" t="s">
        <v>4836</v>
      </c>
      <c r="B771" s="3">
        <v>43912</v>
      </c>
      <c r="C771" s="2" t="s">
        <v>4837</v>
      </c>
      <c r="D771" t="s">
        <v>6151</v>
      </c>
      <c r="E771" s="2">
        <v>6</v>
      </c>
      <c r="F771" s="2" t="s">
        <v>4838</v>
      </c>
      <c r="G771" s="4" t="s">
        <v>4839</v>
      </c>
      <c r="H771" s="2" t="s">
        <v>28</v>
      </c>
      <c r="I771" s="2" t="s">
        <v>144</v>
      </c>
      <c r="J771">
        <v>0</v>
      </c>
      <c r="K771">
        <v>0</v>
      </c>
      <c r="L771">
        <v>0</v>
      </c>
      <c r="M771">
        <v>0</v>
      </c>
      <c r="N771" s="5">
        <v>0</v>
      </c>
      <c r="O771">
        <v>0</v>
      </c>
    </row>
    <row r="772" spans="1:15" hidden="1" x14ac:dyDescent="0.25">
      <c r="A772" s="2" t="s">
        <v>4842</v>
      </c>
      <c r="B772" s="3">
        <v>44092</v>
      </c>
      <c r="C772" s="2" t="s">
        <v>4843</v>
      </c>
      <c r="D772" t="s">
        <v>6147</v>
      </c>
      <c r="E772" s="2">
        <v>1</v>
      </c>
      <c r="F772" s="2" t="s">
        <v>4844</v>
      </c>
      <c r="G772" s="4" t="s">
        <v>4845</v>
      </c>
      <c r="H772" s="2" t="s">
        <v>19</v>
      </c>
      <c r="I772" s="2" t="s">
        <v>83</v>
      </c>
      <c r="J772">
        <v>0</v>
      </c>
      <c r="K772">
        <v>0</v>
      </c>
      <c r="L772">
        <v>0</v>
      </c>
      <c r="M772">
        <v>0</v>
      </c>
      <c r="N772" s="5">
        <v>0</v>
      </c>
      <c r="O772">
        <v>0</v>
      </c>
    </row>
    <row r="773" spans="1:15" hidden="1" x14ac:dyDescent="0.25">
      <c r="A773" s="2" t="s">
        <v>4847</v>
      </c>
      <c r="B773" s="3">
        <v>43468</v>
      </c>
      <c r="C773" s="2" t="s">
        <v>4848</v>
      </c>
      <c r="D773" t="s">
        <v>6173</v>
      </c>
      <c r="E773" s="2">
        <v>3</v>
      </c>
      <c r="F773" s="2" t="s">
        <v>4849</v>
      </c>
      <c r="G773" s="4" t="s">
        <v>4850</v>
      </c>
      <c r="H773" s="2" t="s">
        <v>19</v>
      </c>
      <c r="I773" s="2" t="s">
        <v>204</v>
      </c>
      <c r="J773">
        <v>0</v>
      </c>
      <c r="K773">
        <v>0</v>
      </c>
      <c r="L773">
        <v>0</v>
      </c>
      <c r="M773">
        <v>0</v>
      </c>
      <c r="N773" s="5">
        <v>0</v>
      </c>
      <c r="O773">
        <v>0</v>
      </c>
    </row>
    <row r="774" spans="1:15" hidden="1" x14ac:dyDescent="0.25">
      <c r="A774" s="2" t="s">
        <v>4853</v>
      </c>
      <c r="B774" s="3">
        <v>44468</v>
      </c>
      <c r="C774" s="2" t="s">
        <v>4854</v>
      </c>
      <c r="D774" t="s">
        <v>6141</v>
      </c>
      <c r="E774" s="2">
        <v>6</v>
      </c>
      <c r="F774" s="2" t="s">
        <v>4855</v>
      </c>
      <c r="G774" s="4">
        <v>0</v>
      </c>
      <c r="H774" s="2" t="s">
        <v>19</v>
      </c>
      <c r="I774" s="2" t="s">
        <v>20</v>
      </c>
      <c r="J774">
        <v>0</v>
      </c>
      <c r="K774">
        <v>0</v>
      </c>
      <c r="L774">
        <v>0</v>
      </c>
      <c r="M774">
        <v>0</v>
      </c>
      <c r="N774" s="5">
        <v>0</v>
      </c>
      <c r="O774">
        <v>0</v>
      </c>
    </row>
    <row r="775" spans="1:15" hidden="1" x14ac:dyDescent="0.25">
      <c r="A775" s="2" t="s">
        <v>4858</v>
      </c>
      <c r="B775" s="3">
        <v>44488</v>
      </c>
      <c r="C775" s="2" t="s">
        <v>4859</v>
      </c>
      <c r="D775" t="s">
        <v>6159</v>
      </c>
      <c r="E775" s="2">
        <v>2</v>
      </c>
      <c r="F775" s="2" t="s">
        <v>4860</v>
      </c>
      <c r="G775" s="4" t="s">
        <v>4861</v>
      </c>
      <c r="H775" s="2" t="s">
        <v>318</v>
      </c>
      <c r="I775" s="2" t="s">
        <v>482</v>
      </c>
      <c r="J775">
        <v>0</v>
      </c>
      <c r="K775">
        <v>0</v>
      </c>
      <c r="L775">
        <v>0</v>
      </c>
      <c r="M775">
        <v>0</v>
      </c>
      <c r="N775" s="5">
        <v>0</v>
      </c>
      <c r="O775">
        <v>0</v>
      </c>
    </row>
    <row r="776" spans="1:15" hidden="1" x14ac:dyDescent="0.25">
      <c r="A776" s="2" t="s">
        <v>4864</v>
      </c>
      <c r="B776" s="3">
        <v>44756</v>
      </c>
      <c r="C776" s="2" t="s">
        <v>4865</v>
      </c>
      <c r="D776" t="s">
        <v>6138</v>
      </c>
      <c r="E776" s="2">
        <v>2</v>
      </c>
      <c r="F776" s="2" t="s">
        <v>4866</v>
      </c>
      <c r="G776" s="4">
        <v>0</v>
      </c>
      <c r="H776" s="2" t="s">
        <v>19</v>
      </c>
      <c r="I776" s="2" t="s">
        <v>271</v>
      </c>
      <c r="J776">
        <v>0</v>
      </c>
      <c r="K776">
        <v>0</v>
      </c>
      <c r="L776">
        <v>0</v>
      </c>
      <c r="M776">
        <v>0</v>
      </c>
      <c r="N776" s="5">
        <v>0</v>
      </c>
      <c r="O776">
        <v>0</v>
      </c>
    </row>
    <row r="777" spans="1:15" hidden="1" x14ac:dyDescent="0.25">
      <c r="A777" s="2" t="s">
        <v>4869</v>
      </c>
      <c r="B777" s="3">
        <v>44396</v>
      </c>
      <c r="C777" s="2" t="s">
        <v>4870</v>
      </c>
      <c r="D777" t="s">
        <v>6176</v>
      </c>
      <c r="E777" s="2">
        <v>2</v>
      </c>
      <c r="F777" s="2" t="s">
        <v>4871</v>
      </c>
      <c r="G777" s="4" t="s">
        <v>4872</v>
      </c>
      <c r="H777" s="2" t="s">
        <v>19</v>
      </c>
      <c r="I777" s="2" t="s">
        <v>58</v>
      </c>
      <c r="J777">
        <v>0</v>
      </c>
      <c r="K777">
        <v>0</v>
      </c>
      <c r="L777">
        <v>0</v>
      </c>
      <c r="M777">
        <v>0</v>
      </c>
      <c r="N777" s="5">
        <v>0</v>
      </c>
      <c r="O777">
        <v>0</v>
      </c>
    </row>
    <row r="778" spans="1:15" hidden="1" x14ac:dyDescent="0.25">
      <c r="A778" s="2" t="s">
        <v>4875</v>
      </c>
      <c r="B778" s="3">
        <v>44540</v>
      </c>
      <c r="C778" s="2" t="s">
        <v>4876</v>
      </c>
      <c r="D778" t="s">
        <v>6157</v>
      </c>
      <c r="E778" s="2">
        <v>3</v>
      </c>
      <c r="F778" s="2" t="s">
        <v>4877</v>
      </c>
      <c r="G778" s="4" t="s">
        <v>4878</v>
      </c>
      <c r="H778" s="2" t="s">
        <v>19</v>
      </c>
      <c r="I778" s="2" t="s">
        <v>52</v>
      </c>
      <c r="J778">
        <v>0</v>
      </c>
      <c r="K778">
        <v>0</v>
      </c>
      <c r="L778">
        <v>0</v>
      </c>
      <c r="M778">
        <v>0</v>
      </c>
      <c r="N778" s="5">
        <v>0</v>
      </c>
      <c r="O778">
        <v>0</v>
      </c>
    </row>
    <row r="779" spans="1:15" hidden="1" x14ac:dyDescent="0.25">
      <c r="A779" s="2" t="s">
        <v>4881</v>
      </c>
      <c r="B779" s="3">
        <v>43541</v>
      </c>
      <c r="C779" s="2" t="s">
        <v>4882</v>
      </c>
      <c r="D779" t="s">
        <v>6182</v>
      </c>
      <c r="E779" s="2">
        <v>2</v>
      </c>
      <c r="F779" s="2" t="s">
        <v>4883</v>
      </c>
      <c r="G779" s="4" t="s">
        <v>4884</v>
      </c>
      <c r="H779" s="2" t="s">
        <v>19</v>
      </c>
      <c r="I779" s="2" t="s">
        <v>316</v>
      </c>
      <c r="J779">
        <v>0</v>
      </c>
      <c r="K779">
        <v>0</v>
      </c>
      <c r="L779">
        <v>0</v>
      </c>
      <c r="M779">
        <v>0</v>
      </c>
      <c r="N779" s="5">
        <v>0</v>
      </c>
      <c r="O779">
        <v>0</v>
      </c>
    </row>
    <row r="780" spans="1:15" hidden="1" x14ac:dyDescent="0.25">
      <c r="A780" s="2" t="s">
        <v>4886</v>
      </c>
      <c r="B780" s="3">
        <v>43889</v>
      </c>
      <c r="C780" s="2" t="s">
        <v>4933</v>
      </c>
      <c r="D780" t="s">
        <v>6161</v>
      </c>
      <c r="E780" s="2">
        <v>2</v>
      </c>
      <c r="F780" s="2" t="s">
        <v>4888</v>
      </c>
      <c r="G780" s="4" t="s">
        <v>4889</v>
      </c>
      <c r="H780" s="2" t="s">
        <v>19</v>
      </c>
      <c r="I780" s="2" t="s">
        <v>183</v>
      </c>
      <c r="J780">
        <v>0</v>
      </c>
      <c r="K780">
        <v>0</v>
      </c>
      <c r="L780">
        <v>0</v>
      </c>
      <c r="M780">
        <v>0</v>
      </c>
      <c r="N780" s="5">
        <v>0</v>
      </c>
      <c r="O780">
        <v>0</v>
      </c>
    </row>
    <row r="781" spans="1:15" hidden="1" x14ac:dyDescent="0.25">
      <c r="A781" s="2" t="s">
        <v>4892</v>
      </c>
      <c r="B781" s="3">
        <v>43985</v>
      </c>
      <c r="C781" s="2" t="s">
        <v>4893</v>
      </c>
      <c r="D781" t="s">
        <v>6143</v>
      </c>
      <c r="E781" s="2">
        <v>6</v>
      </c>
      <c r="F781" s="2" t="s">
        <v>4894</v>
      </c>
      <c r="G781" s="4" t="s">
        <v>4895</v>
      </c>
      <c r="H781" s="2" t="s">
        <v>19</v>
      </c>
      <c r="I781" s="2" t="s">
        <v>209</v>
      </c>
      <c r="J781">
        <v>0</v>
      </c>
      <c r="K781">
        <v>0</v>
      </c>
      <c r="L781">
        <v>0</v>
      </c>
      <c r="M781">
        <v>0</v>
      </c>
      <c r="N781" s="5">
        <v>0</v>
      </c>
      <c r="O781">
        <v>0</v>
      </c>
    </row>
    <row r="782" spans="1:15" hidden="1" x14ac:dyDescent="0.25">
      <c r="A782" s="2" t="s">
        <v>4898</v>
      </c>
      <c r="B782" s="3">
        <v>43883</v>
      </c>
      <c r="C782" s="2" t="s">
        <v>4899</v>
      </c>
      <c r="D782" t="s">
        <v>6141</v>
      </c>
      <c r="E782" s="2">
        <v>3</v>
      </c>
      <c r="F782" s="2" t="s">
        <v>4900</v>
      </c>
      <c r="G782" s="4">
        <v>0</v>
      </c>
      <c r="H782" s="2" t="s">
        <v>19</v>
      </c>
      <c r="I782" s="2" t="s">
        <v>33</v>
      </c>
      <c r="J782">
        <v>0</v>
      </c>
      <c r="K782">
        <v>0</v>
      </c>
      <c r="L782">
        <v>0</v>
      </c>
      <c r="M782">
        <v>0</v>
      </c>
      <c r="N782" s="5">
        <v>0</v>
      </c>
      <c r="O782">
        <v>0</v>
      </c>
    </row>
    <row r="783" spans="1:15" hidden="1" x14ac:dyDescent="0.25">
      <c r="A783" s="2" t="s">
        <v>4903</v>
      </c>
      <c r="B783" s="3">
        <v>43778</v>
      </c>
      <c r="C783" s="2" t="s">
        <v>4904</v>
      </c>
      <c r="D783" t="s">
        <v>6164</v>
      </c>
      <c r="E783" s="2">
        <v>4</v>
      </c>
      <c r="F783" s="2" t="s">
        <v>4905</v>
      </c>
      <c r="G783" s="4" t="s">
        <v>4906</v>
      </c>
      <c r="H783" s="2" t="s">
        <v>19</v>
      </c>
      <c r="I783" s="2" t="s">
        <v>259</v>
      </c>
      <c r="J783">
        <v>0</v>
      </c>
      <c r="K783">
        <v>0</v>
      </c>
      <c r="L783">
        <v>0</v>
      </c>
      <c r="M783">
        <v>0</v>
      </c>
      <c r="N783" s="5">
        <v>0</v>
      </c>
      <c r="O783">
        <v>0</v>
      </c>
    </row>
    <row r="784" spans="1:15" hidden="1" x14ac:dyDescent="0.25">
      <c r="A784" s="2" t="s">
        <v>4909</v>
      </c>
      <c r="B784" s="3">
        <v>43897</v>
      </c>
      <c r="C784" s="2" t="s">
        <v>4910</v>
      </c>
      <c r="D784" t="s">
        <v>6184</v>
      </c>
      <c r="E784" s="2">
        <v>6</v>
      </c>
      <c r="F784" s="2" t="s">
        <v>4911</v>
      </c>
      <c r="G784" s="4" t="s">
        <v>4912</v>
      </c>
      <c r="H784" s="2" t="s">
        <v>318</v>
      </c>
      <c r="I784" s="2" t="s">
        <v>480</v>
      </c>
      <c r="J784">
        <v>0</v>
      </c>
      <c r="K784">
        <v>0</v>
      </c>
      <c r="L784">
        <v>0</v>
      </c>
      <c r="M784">
        <v>0</v>
      </c>
      <c r="N784" s="5">
        <v>0</v>
      </c>
      <c r="O784">
        <v>0</v>
      </c>
    </row>
    <row r="785" spans="1:15" hidden="1" x14ac:dyDescent="0.25">
      <c r="A785" s="2" t="s">
        <v>4915</v>
      </c>
      <c r="B785" s="3">
        <v>44312</v>
      </c>
      <c r="C785" s="2" t="s">
        <v>4916</v>
      </c>
      <c r="D785" t="s">
        <v>6160</v>
      </c>
      <c r="E785" s="2">
        <v>5</v>
      </c>
      <c r="F785" s="2" t="s">
        <v>4917</v>
      </c>
      <c r="G785" s="4" t="s">
        <v>4918</v>
      </c>
      <c r="H785" s="2" t="s">
        <v>19</v>
      </c>
      <c r="I785" s="2" t="s">
        <v>137</v>
      </c>
      <c r="J785">
        <v>0</v>
      </c>
      <c r="K785">
        <v>0</v>
      </c>
      <c r="L785">
        <v>0</v>
      </c>
      <c r="M785">
        <v>0</v>
      </c>
      <c r="N785" s="5">
        <v>0</v>
      </c>
      <c r="O785">
        <v>0</v>
      </c>
    </row>
    <row r="786" spans="1:15" hidden="1" x14ac:dyDescent="0.25">
      <c r="A786" s="2" t="s">
        <v>4921</v>
      </c>
      <c r="B786" s="3">
        <v>44511</v>
      </c>
      <c r="C786" s="2" t="s">
        <v>4922</v>
      </c>
      <c r="D786" t="s">
        <v>6170</v>
      </c>
      <c r="E786" s="2">
        <v>2</v>
      </c>
      <c r="F786" s="2" t="s">
        <v>4923</v>
      </c>
      <c r="G786" s="4" t="s">
        <v>4924</v>
      </c>
      <c r="H786" s="2" t="s">
        <v>19</v>
      </c>
      <c r="I786" s="2" t="s">
        <v>130</v>
      </c>
      <c r="J786">
        <v>0</v>
      </c>
      <c r="K786">
        <v>0</v>
      </c>
      <c r="L786">
        <v>0</v>
      </c>
      <c r="M786">
        <v>0</v>
      </c>
      <c r="N786" s="5">
        <v>0</v>
      </c>
      <c r="O786">
        <v>0</v>
      </c>
    </row>
    <row r="787" spans="1:15" hidden="1" x14ac:dyDescent="0.25">
      <c r="A787" s="2" t="s">
        <v>4926</v>
      </c>
      <c r="B787" s="3">
        <v>44362</v>
      </c>
      <c r="C787" s="2" t="s">
        <v>4927</v>
      </c>
      <c r="D787" t="s">
        <v>6168</v>
      </c>
      <c r="E787" s="2">
        <v>1</v>
      </c>
      <c r="F787" s="2" t="s">
        <v>4928</v>
      </c>
      <c r="G787" s="4" t="s">
        <v>4929</v>
      </c>
      <c r="H787" s="2" t="s">
        <v>19</v>
      </c>
      <c r="I787" s="2" t="s">
        <v>92</v>
      </c>
      <c r="J787">
        <v>0</v>
      </c>
      <c r="K787">
        <v>0</v>
      </c>
      <c r="L787">
        <v>0</v>
      </c>
      <c r="M787">
        <v>0</v>
      </c>
      <c r="N787" s="5">
        <v>0</v>
      </c>
      <c r="O787">
        <v>0</v>
      </c>
    </row>
    <row r="788" spans="1:15" hidden="1" x14ac:dyDescent="0.25">
      <c r="A788" s="2" t="s">
        <v>4932</v>
      </c>
      <c r="B788" s="3">
        <v>43888</v>
      </c>
      <c r="C788" s="2" t="s">
        <v>4933</v>
      </c>
      <c r="D788" t="s">
        <v>6185</v>
      </c>
      <c r="E788" s="2">
        <v>1</v>
      </c>
      <c r="F788" s="2" t="s">
        <v>4934</v>
      </c>
      <c r="G788" s="4" t="s">
        <v>4935</v>
      </c>
      <c r="H788" s="2" t="s">
        <v>19</v>
      </c>
      <c r="I788" s="2" t="s">
        <v>203</v>
      </c>
      <c r="J788">
        <v>0</v>
      </c>
      <c r="K788">
        <v>0</v>
      </c>
      <c r="L788">
        <v>0</v>
      </c>
      <c r="M788">
        <v>0</v>
      </c>
      <c r="N788" s="5">
        <v>0</v>
      </c>
      <c r="O788">
        <v>0</v>
      </c>
    </row>
    <row r="789" spans="1:15" hidden="1" x14ac:dyDescent="0.25">
      <c r="A789" s="2" t="s">
        <v>4938</v>
      </c>
      <c r="B789" s="3">
        <v>44305</v>
      </c>
      <c r="C789" s="2" t="s">
        <v>4939</v>
      </c>
      <c r="D789" t="s">
        <v>6141</v>
      </c>
      <c r="E789" s="2">
        <v>6</v>
      </c>
      <c r="F789" s="2" t="s">
        <v>4940</v>
      </c>
      <c r="G789" s="4">
        <v>0</v>
      </c>
      <c r="H789" s="2" t="s">
        <v>19</v>
      </c>
      <c r="I789" s="2" t="s">
        <v>56</v>
      </c>
      <c r="J789">
        <v>0</v>
      </c>
      <c r="K789">
        <v>0</v>
      </c>
      <c r="L789">
        <v>0</v>
      </c>
      <c r="M789">
        <v>0</v>
      </c>
      <c r="N789" s="5">
        <v>0</v>
      </c>
      <c r="O789">
        <v>0</v>
      </c>
    </row>
    <row r="790" spans="1:15" hidden="1" x14ac:dyDescent="0.25">
      <c r="A790" s="2" t="s">
        <v>4943</v>
      </c>
      <c r="B790" s="3">
        <v>44771</v>
      </c>
      <c r="C790" s="2" t="s">
        <v>4944</v>
      </c>
      <c r="D790" t="s">
        <v>6151</v>
      </c>
      <c r="E790" s="2">
        <v>2</v>
      </c>
      <c r="F790" s="2" t="s">
        <v>4945</v>
      </c>
      <c r="G790" s="4" t="s">
        <v>4946</v>
      </c>
      <c r="H790" s="2" t="s">
        <v>318</v>
      </c>
      <c r="I790" s="2" t="s">
        <v>405</v>
      </c>
      <c r="J790">
        <v>0</v>
      </c>
      <c r="K790">
        <v>0</v>
      </c>
      <c r="L790">
        <v>0</v>
      </c>
      <c r="M790">
        <v>0</v>
      </c>
      <c r="N790" s="5">
        <v>0</v>
      </c>
      <c r="O790">
        <v>0</v>
      </c>
    </row>
    <row r="791" spans="1:15" hidden="1" x14ac:dyDescent="0.25">
      <c r="A791" s="2" t="s">
        <v>4949</v>
      </c>
      <c r="B791" s="3">
        <v>43485</v>
      </c>
      <c r="C791" s="2" t="s">
        <v>4950</v>
      </c>
      <c r="D791" t="s">
        <v>6140</v>
      </c>
      <c r="E791" s="2">
        <v>6</v>
      </c>
      <c r="F791" s="2" t="s">
        <v>4951</v>
      </c>
      <c r="G791" s="4" t="s">
        <v>4952</v>
      </c>
      <c r="H791" s="2" t="s">
        <v>19</v>
      </c>
      <c r="I791" s="2" t="s">
        <v>38</v>
      </c>
      <c r="J791">
        <v>0</v>
      </c>
      <c r="K791">
        <v>0</v>
      </c>
      <c r="L791">
        <v>0</v>
      </c>
      <c r="M791">
        <v>0</v>
      </c>
      <c r="N791" s="5">
        <v>0</v>
      </c>
      <c r="O791">
        <v>0</v>
      </c>
    </row>
    <row r="792" spans="1:15" hidden="1" x14ac:dyDescent="0.25">
      <c r="A792" s="2" t="s">
        <v>4955</v>
      </c>
      <c r="B792" s="3">
        <v>44613</v>
      </c>
      <c r="C792" s="2" t="s">
        <v>4956</v>
      </c>
      <c r="D792" t="s">
        <v>6180</v>
      </c>
      <c r="E792" s="2">
        <v>3</v>
      </c>
      <c r="F792" s="2" t="s">
        <v>4957</v>
      </c>
      <c r="G792" s="4" t="s">
        <v>4958</v>
      </c>
      <c r="H792" s="2" t="s">
        <v>19</v>
      </c>
      <c r="I792" s="2" t="s">
        <v>76</v>
      </c>
      <c r="J792">
        <v>0</v>
      </c>
      <c r="K792">
        <v>0</v>
      </c>
      <c r="L792">
        <v>0</v>
      </c>
      <c r="M792">
        <v>0</v>
      </c>
      <c r="N792" s="5">
        <v>0</v>
      </c>
      <c r="O792">
        <v>0</v>
      </c>
    </row>
    <row r="793" spans="1:15" hidden="1" x14ac:dyDescent="0.25">
      <c r="A793" s="2" t="s">
        <v>4961</v>
      </c>
      <c r="B793" s="3">
        <v>43954</v>
      </c>
      <c r="C793" s="2" t="s">
        <v>4962</v>
      </c>
      <c r="D793" t="s">
        <v>6145</v>
      </c>
      <c r="E793" s="2">
        <v>5</v>
      </c>
      <c r="F793" s="2" t="s">
        <v>4963</v>
      </c>
      <c r="G793" s="4" t="s">
        <v>4964</v>
      </c>
      <c r="H793" s="2" t="s">
        <v>19</v>
      </c>
      <c r="I793" s="2" t="s">
        <v>59</v>
      </c>
      <c r="J793">
        <v>0</v>
      </c>
      <c r="K793">
        <v>0</v>
      </c>
      <c r="L793">
        <v>0</v>
      </c>
      <c r="M793">
        <v>0</v>
      </c>
      <c r="N793" s="5">
        <v>0</v>
      </c>
      <c r="O793">
        <v>0</v>
      </c>
    </row>
    <row r="794" spans="1:15" hidden="1" x14ac:dyDescent="0.25">
      <c r="A794" s="2" t="s">
        <v>4967</v>
      </c>
      <c r="B794" s="3">
        <v>43545</v>
      </c>
      <c r="C794" s="2" t="s">
        <v>4968</v>
      </c>
      <c r="D794" t="s">
        <v>6160</v>
      </c>
      <c r="E794" s="2">
        <v>6</v>
      </c>
      <c r="F794" s="2" t="s">
        <v>4969</v>
      </c>
      <c r="G794" s="4" t="s">
        <v>4970</v>
      </c>
      <c r="H794" s="2" t="s">
        <v>28</v>
      </c>
      <c r="I794" s="2" t="s">
        <v>357</v>
      </c>
      <c r="J794">
        <v>0</v>
      </c>
      <c r="K794">
        <v>0</v>
      </c>
      <c r="L794">
        <v>0</v>
      </c>
      <c r="M794">
        <v>0</v>
      </c>
      <c r="N794" s="5">
        <v>0</v>
      </c>
      <c r="O794">
        <v>0</v>
      </c>
    </row>
    <row r="795" spans="1:15" hidden="1" x14ac:dyDescent="0.25">
      <c r="A795" s="2" t="s">
        <v>4973</v>
      </c>
      <c r="B795" s="3">
        <v>43629</v>
      </c>
      <c r="C795" s="2" t="s">
        <v>4974</v>
      </c>
      <c r="D795" t="s">
        <v>6178</v>
      </c>
      <c r="E795" s="2">
        <v>5</v>
      </c>
      <c r="F795" s="2" t="s">
        <v>4975</v>
      </c>
      <c r="G795" s="4" t="s">
        <v>4976</v>
      </c>
      <c r="H795" s="2" t="s">
        <v>19</v>
      </c>
      <c r="I795" s="2" t="s">
        <v>24</v>
      </c>
      <c r="J795">
        <v>0</v>
      </c>
      <c r="K795">
        <v>0</v>
      </c>
      <c r="L795">
        <v>0</v>
      </c>
      <c r="M795">
        <v>0</v>
      </c>
      <c r="N795" s="5">
        <v>0</v>
      </c>
      <c r="O795">
        <v>0</v>
      </c>
    </row>
    <row r="796" spans="1:15" hidden="1" x14ac:dyDescent="0.25">
      <c r="A796" s="2" t="s">
        <v>4979</v>
      </c>
      <c r="B796" s="3">
        <v>43987</v>
      </c>
      <c r="C796" s="2" t="s">
        <v>4980</v>
      </c>
      <c r="D796" t="s">
        <v>6182</v>
      </c>
      <c r="E796" s="2">
        <v>5</v>
      </c>
      <c r="F796" s="2" t="s">
        <v>4981</v>
      </c>
      <c r="G796" s="4" t="s">
        <v>4982</v>
      </c>
      <c r="H796" s="2" t="s">
        <v>19</v>
      </c>
      <c r="I796" s="2" t="s">
        <v>278</v>
      </c>
      <c r="J796">
        <v>0</v>
      </c>
      <c r="K796">
        <v>0</v>
      </c>
      <c r="L796">
        <v>0</v>
      </c>
      <c r="M796">
        <v>0</v>
      </c>
      <c r="N796" s="5">
        <v>0</v>
      </c>
      <c r="O796">
        <v>0</v>
      </c>
    </row>
    <row r="797" spans="1:15" hidden="1" x14ac:dyDescent="0.25">
      <c r="A797" s="2" t="s">
        <v>4985</v>
      </c>
      <c r="B797" s="3">
        <v>43540</v>
      </c>
      <c r="C797" s="2" t="s">
        <v>4986</v>
      </c>
      <c r="D797" t="s">
        <v>6173</v>
      </c>
      <c r="E797" s="2">
        <v>4</v>
      </c>
      <c r="F797" s="2" t="s">
        <v>4987</v>
      </c>
      <c r="G797" s="4" t="s">
        <v>4988</v>
      </c>
      <c r="H797" s="2" t="s">
        <v>19</v>
      </c>
      <c r="I797" s="2" t="s">
        <v>282</v>
      </c>
      <c r="J797">
        <v>0</v>
      </c>
      <c r="K797">
        <v>0</v>
      </c>
      <c r="L797">
        <v>0</v>
      </c>
      <c r="M797">
        <v>0</v>
      </c>
      <c r="N797" s="5">
        <v>0</v>
      </c>
      <c r="O797">
        <v>0</v>
      </c>
    </row>
    <row r="798" spans="1:15" hidden="1" x14ac:dyDescent="0.25">
      <c r="A798" s="2" t="s">
        <v>4991</v>
      </c>
      <c r="B798" s="3">
        <v>44533</v>
      </c>
      <c r="C798" s="2" t="s">
        <v>4992</v>
      </c>
      <c r="D798" t="s">
        <v>6161</v>
      </c>
      <c r="E798" s="2">
        <v>1</v>
      </c>
      <c r="F798" s="2" t="s">
        <v>4993</v>
      </c>
      <c r="G798" s="4">
        <v>0</v>
      </c>
      <c r="H798" s="2" t="s">
        <v>19</v>
      </c>
      <c r="I798" s="2" t="s">
        <v>43</v>
      </c>
      <c r="J798">
        <v>0</v>
      </c>
      <c r="K798">
        <v>0</v>
      </c>
      <c r="L798">
        <v>0</v>
      </c>
      <c r="M798">
        <v>0</v>
      </c>
      <c r="N798" s="5">
        <v>0</v>
      </c>
      <c r="O798">
        <v>0</v>
      </c>
    </row>
    <row r="799" spans="1:15" hidden="1" x14ac:dyDescent="0.25">
      <c r="A799" s="2" t="s">
        <v>4996</v>
      </c>
      <c r="B799" s="3">
        <v>44751</v>
      </c>
      <c r="C799" s="2" t="s">
        <v>4997</v>
      </c>
      <c r="D799" t="s">
        <v>6180</v>
      </c>
      <c r="E799" s="2">
        <v>4</v>
      </c>
      <c r="F799" s="2" t="s">
        <v>4998</v>
      </c>
      <c r="G799" s="4" t="s">
        <v>4999</v>
      </c>
      <c r="H799" s="2" t="s">
        <v>19</v>
      </c>
      <c r="I799" s="2" t="s">
        <v>137</v>
      </c>
      <c r="J799">
        <v>0</v>
      </c>
      <c r="K799">
        <v>0</v>
      </c>
      <c r="L799">
        <v>0</v>
      </c>
      <c r="M799">
        <v>0</v>
      </c>
      <c r="N799" s="5">
        <v>0</v>
      </c>
      <c r="O799">
        <v>0</v>
      </c>
    </row>
    <row r="800" spans="1:15" hidden="1" x14ac:dyDescent="0.25">
      <c r="A800" s="2" t="s">
        <v>5002</v>
      </c>
      <c r="B800" s="3">
        <v>43950</v>
      </c>
      <c r="C800" s="2" t="s">
        <v>5003</v>
      </c>
      <c r="D800" t="s">
        <v>6163</v>
      </c>
      <c r="E800" s="2">
        <v>3</v>
      </c>
      <c r="F800" s="2" t="s">
        <v>5004</v>
      </c>
      <c r="G800" s="4" t="s">
        <v>5005</v>
      </c>
      <c r="H800" s="2" t="s">
        <v>19</v>
      </c>
      <c r="I800" s="2" t="s">
        <v>98</v>
      </c>
      <c r="J800">
        <v>0</v>
      </c>
      <c r="K800">
        <v>0</v>
      </c>
      <c r="L800">
        <v>0</v>
      </c>
      <c r="M800">
        <v>0</v>
      </c>
      <c r="N800" s="5">
        <v>0</v>
      </c>
      <c r="O800">
        <v>0</v>
      </c>
    </row>
    <row r="801" spans="1:15" hidden="1" x14ac:dyDescent="0.25">
      <c r="A801" s="2" t="s">
        <v>5008</v>
      </c>
      <c r="B801" s="3">
        <v>44588</v>
      </c>
      <c r="C801" s="2" t="s">
        <v>5009</v>
      </c>
      <c r="D801" t="s">
        <v>6183</v>
      </c>
      <c r="E801" s="2">
        <v>3</v>
      </c>
      <c r="F801" s="2" t="s">
        <v>5010</v>
      </c>
      <c r="G801" s="4">
        <v>0</v>
      </c>
      <c r="H801" s="2" t="s">
        <v>19</v>
      </c>
      <c r="I801" s="2" t="s">
        <v>47</v>
      </c>
      <c r="J801">
        <v>0</v>
      </c>
      <c r="K801">
        <v>0</v>
      </c>
      <c r="L801">
        <v>0</v>
      </c>
      <c r="M801">
        <v>0</v>
      </c>
      <c r="N801" s="5">
        <v>0</v>
      </c>
      <c r="O801">
        <v>0</v>
      </c>
    </row>
    <row r="802" spans="1:15" hidden="1" x14ac:dyDescent="0.25">
      <c r="A802" s="2" t="s">
        <v>5012</v>
      </c>
      <c r="B802" s="3">
        <v>44240</v>
      </c>
      <c r="C802" s="2" t="s">
        <v>5013</v>
      </c>
      <c r="D802" t="s">
        <v>6163</v>
      </c>
      <c r="E802" s="2">
        <v>6</v>
      </c>
      <c r="F802" s="2" t="s">
        <v>5014</v>
      </c>
      <c r="G802" s="4" t="s">
        <v>5015</v>
      </c>
      <c r="H802" s="2" t="s">
        <v>318</v>
      </c>
      <c r="I802" s="2" t="s">
        <v>3664</v>
      </c>
      <c r="J802">
        <v>0</v>
      </c>
      <c r="K802">
        <v>0</v>
      </c>
      <c r="L802">
        <v>0</v>
      </c>
      <c r="M802">
        <v>0</v>
      </c>
      <c r="N802" s="5">
        <v>0</v>
      </c>
      <c r="O802">
        <v>0</v>
      </c>
    </row>
    <row r="803" spans="1:15" hidden="1" x14ac:dyDescent="0.25">
      <c r="A803" s="2" t="s">
        <v>5018</v>
      </c>
      <c r="B803" s="3">
        <v>44025</v>
      </c>
      <c r="C803" s="2" t="s">
        <v>5019</v>
      </c>
      <c r="D803" t="s">
        <v>6149</v>
      </c>
      <c r="E803" s="2">
        <v>2</v>
      </c>
      <c r="F803" s="2" t="s">
        <v>5020</v>
      </c>
      <c r="G803" s="4" t="s">
        <v>5021</v>
      </c>
      <c r="H803" s="2" t="s">
        <v>19</v>
      </c>
      <c r="I803" s="2" t="s">
        <v>76</v>
      </c>
      <c r="J803">
        <v>0</v>
      </c>
      <c r="K803">
        <v>0</v>
      </c>
      <c r="L803">
        <v>0</v>
      </c>
      <c r="M803">
        <v>0</v>
      </c>
      <c r="N803" s="5">
        <v>0</v>
      </c>
      <c r="O803">
        <v>0</v>
      </c>
    </row>
    <row r="804" spans="1:15" hidden="1" x14ac:dyDescent="0.25">
      <c r="A804" s="2" t="s">
        <v>5024</v>
      </c>
      <c r="B804" s="3">
        <v>43902</v>
      </c>
      <c r="C804" s="2" t="s">
        <v>5025</v>
      </c>
      <c r="D804" t="s">
        <v>6163</v>
      </c>
      <c r="E804" s="2">
        <v>4</v>
      </c>
      <c r="F804" s="2" t="s">
        <v>5026</v>
      </c>
      <c r="G804" s="4" t="s">
        <v>5027</v>
      </c>
      <c r="H804" s="2" t="s">
        <v>19</v>
      </c>
      <c r="I804" s="2" t="s">
        <v>458</v>
      </c>
      <c r="J804">
        <v>0</v>
      </c>
      <c r="K804">
        <v>0</v>
      </c>
      <c r="L804">
        <v>0</v>
      </c>
      <c r="M804">
        <v>0</v>
      </c>
      <c r="N804" s="5">
        <v>0</v>
      </c>
      <c r="O804">
        <v>0</v>
      </c>
    </row>
    <row r="805" spans="1:15" hidden="1" x14ac:dyDescent="0.25">
      <c r="A805" s="2" t="s">
        <v>5030</v>
      </c>
      <c r="B805" s="3">
        <v>43955</v>
      </c>
      <c r="C805" s="2" t="s">
        <v>5031</v>
      </c>
      <c r="D805" t="s">
        <v>6166</v>
      </c>
      <c r="E805" s="2">
        <v>4</v>
      </c>
      <c r="F805" s="2" t="s">
        <v>5032</v>
      </c>
      <c r="G805" s="4" t="s">
        <v>5033</v>
      </c>
      <c r="H805" s="2" t="s">
        <v>19</v>
      </c>
      <c r="I805" s="2" t="s">
        <v>131</v>
      </c>
      <c r="J805">
        <v>0</v>
      </c>
      <c r="K805">
        <v>0</v>
      </c>
      <c r="L805">
        <v>0</v>
      </c>
      <c r="M805">
        <v>0</v>
      </c>
      <c r="N805" s="5">
        <v>0</v>
      </c>
      <c r="O805">
        <v>0</v>
      </c>
    </row>
    <row r="806" spans="1:15" hidden="1" x14ac:dyDescent="0.25">
      <c r="A806" s="2" t="s">
        <v>5035</v>
      </c>
      <c r="B806" s="3">
        <v>44289</v>
      </c>
      <c r="C806" s="2" t="s">
        <v>5036</v>
      </c>
      <c r="D806" t="s">
        <v>6179</v>
      </c>
      <c r="E806" s="2">
        <v>2</v>
      </c>
      <c r="F806" s="2" t="s">
        <v>5037</v>
      </c>
      <c r="G806" s="4">
        <v>0</v>
      </c>
      <c r="H806" s="2" t="s">
        <v>28</v>
      </c>
      <c r="I806" s="2" t="s">
        <v>280</v>
      </c>
      <c r="J806">
        <v>0</v>
      </c>
      <c r="K806">
        <v>0</v>
      </c>
      <c r="L806">
        <v>0</v>
      </c>
      <c r="M806">
        <v>0</v>
      </c>
      <c r="N806" s="5">
        <v>0</v>
      </c>
      <c r="O806">
        <v>0</v>
      </c>
    </row>
    <row r="807" spans="1:15" hidden="1" x14ac:dyDescent="0.25">
      <c r="A807" s="2" t="s">
        <v>5040</v>
      </c>
      <c r="B807" s="3">
        <v>44713</v>
      </c>
      <c r="C807" s="2" t="s">
        <v>5041</v>
      </c>
      <c r="D807" t="s">
        <v>6146</v>
      </c>
      <c r="E807" s="2">
        <v>1</v>
      </c>
      <c r="F807" s="2" t="s">
        <v>5042</v>
      </c>
      <c r="G807" s="4">
        <v>0</v>
      </c>
      <c r="H807" s="2" t="s">
        <v>19</v>
      </c>
      <c r="I807" s="2" t="s">
        <v>5045</v>
      </c>
      <c r="J807">
        <v>0</v>
      </c>
      <c r="K807">
        <v>0</v>
      </c>
      <c r="L807">
        <v>0</v>
      </c>
      <c r="M807">
        <v>0</v>
      </c>
      <c r="N807" s="5">
        <v>0</v>
      </c>
      <c r="O807">
        <v>0</v>
      </c>
    </row>
    <row r="808" spans="1:15" hidden="1" x14ac:dyDescent="0.25">
      <c r="A808" s="2" t="s">
        <v>5046</v>
      </c>
      <c r="B808" s="3">
        <v>44241</v>
      </c>
      <c r="C808" s="2" t="s">
        <v>5047</v>
      </c>
      <c r="D808" t="s">
        <v>6150</v>
      </c>
      <c r="E808" s="2">
        <v>2</v>
      </c>
      <c r="F808" s="2" t="s">
        <v>5048</v>
      </c>
      <c r="G808" s="4">
        <v>0</v>
      </c>
      <c r="H808" s="2" t="s">
        <v>28</v>
      </c>
      <c r="I808" s="2" t="s">
        <v>248</v>
      </c>
      <c r="J808">
        <v>0</v>
      </c>
      <c r="K808">
        <v>0</v>
      </c>
      <c r="L808">
        <v>0</v>
      </c>
      <c r="M808">
        <v>0</v>
      </c>
      <c r="N808" s="5">
        <v>0</v>
      </c>
      <c r="O808">
        <v>0</v>
      </c>
    </row>
    <row r="809" spans="1:15" hidden="1" x14ac:dyDescent="0.25">
      <c r="A809" s="2" t="s">
        <v>5050</v>
      </c>
      <c r="B809" s="3">
        <v>44543</v>
      </c>
      <c r="C809" s="2" t="s">
        <v>5051</v>
      </c>
      <c r="D809" t="s">
        <v>6169</v>
      </c>
      <c r="E809" s="2">
        <v>3</v>
      </c>
      <c r="F809" s="2" t="s">
        <v>5052</v>
      </c>
      <c r="G809" s="4" t="s">
        <v>5053</v>
      </c>
      <c r="H809" s="2" t="s">
        <v>318</v>
      </c>
      <c r="I809" s="2" t="s">
        <v>373</v>
      </c>
      <c r="J809">
        <v>0</v>
      </c>
      <c r="K809">
        <v>0</v>
      </c>
      <c r="L809">
        <v>0</v>
      </c>
      <c r="M809">
        <v>0</v>
      </c>
      <c r="N809" s="5">
        <v>0</v>
      </c>
      <c r="O809">
        <v>0</v>
      </c>
    </row>
    <row r="810" spans="1:15" hidden="1" x14ac:dyDescent="0.25">
      <c r="A810" s="2" t="s">
        <v>5056</v>
      </c>
      <c r="B810" s="3">
        <v>43868</v>
      </c>
      <c r="C810" s="2" t="s">
        <v>5113</v>
      </c>
      <c r="D810" t="s">
        <v>6142</v>
      </c>
      <c r="E810" s="2">
        <v>5</v>
      </c>
      <c r="F810" s="2" t="s">
        <v>5058</v>
      </c>
      <c r="G810" s="4" t="s">
        <v>5059</v>
      </c>
      <c r="H810" s="2" t="s">
        <v>19</v>
      </c>
      <c r="I810" s="2" t="s">
        <v>132</v>
      </c>
      <c r="J810">
        <v>0</v>
      </c>
      <c r="K810">
        <v>0</v>
      </c>
      <c r="L810">
        <v>0</v>
      </c>
      <c r="M810">
        <v>0</v>
      </c>
      <c r="N810" s="5">
        <v>0</v>
      </c>
      <c r="O810">
        <v>0</v>
      </c>
    </row>
    <row r="811" spans="1:15" hidden="1" x14ac:dyDescent="0.25">
      <c r="A811" s="2" t="s">
        <v>5062</v>
      </c>
      <c r="B811" s="3">
        <v>44235</v>
      </c>
      <c r="C811" s="2" t="s">
        <v>5063</v>
      </c>
      <c r="D811" t="s">
        <v>6163</v>
      </c>
      <c r="E811" s="2">
        <v>3</v>
      </c>
      <c r="F811" s="2" t="s">
        <v>5064</v>
      </c>
      <c r="G811" s="4">
        <v>0</v>
      </c>
      <c r="H811" s="2" t="s">
        <v>19</v>
      </c>
      <c r="I811" s="2" t="s">
        <v>50</v>
      </c>
      <c r="J811">
        <v>0</v>
      </c>
      <c r="K811">
        <v>0</v>
      </c>
      <c r="L811">
        <v>0</v>
      </c>
      <c r="M811">
        <v>0</v>
      </c>
      <c r="N811" s="5">
        <v>0</v>
      </c>
      <c r="O811">
        <v>0</v>
      </c>
    </row>
    <row r="812" spans="1:15" hidden="1" x14ac:dyDescent="0.25">
      <c r="A812" s="2" t="s">
        <v>5067</v>
      </c>
      <c r="B812" s="3">
        <v>44054</v>
      </c>
      <c r="C812" s="2" t="s">
        <v>5068</v>
      </c>
      <c r="D812" t="s">
        <v>6161</v>
      </c>
      <c r="E812" s="2">
        <v>3</v>
      </c>
      <c r="F812" s="2" t="s">
        <v>5069</v>
      </c>
      <c r="G812" s="4" t="s">
        <v>5070</v>
      </c>
      <c r="H812" s="2" t="s">
        <v>19</v>
      </c>
      <c r="I812" s="2" t="s">
        <v>309</v>
      </c>
      <c r="J812">
        <v>0</v>
      </c>
      <c r="K812">
        <v>0</v>
      </c>
      <c r="L812">
        <v>0</v>
      </c>
      <c r="M812">
        <v>0</v>
      </c>
      <c r="N812" s="5">
        <v>0</v>
      </c>
      <c r="O812">
        <v>0</v>
      </c>
    </row>
    <row r="813" spans="1:15" hidden="1" x14ac:dyDescent="0.25">
      <c r="A813" s="2" t="s">
        <v>5073</v>
      </c>
      <c r="B813" s="3">
        <v>44114</v>
      </c>
      <c r="C813" s="2" t="s">
        <v>5074</v>
      </c>
      <c r="D813" t="s">
        <v>6155</v>
      </c>
      <c r="E813" s="2">
        <v>6</v>
      </c>
      <c r="F813" s="2" t="s">
        <v>5075</v>
      </c>
      <c r="G813" s="4" t="s">
        <v>5076</v>
      </c>
      <c r="H813" s="2" t="s">
        <v>318</v>
      </c>
      <c r="I813" s="2" t="s">
        <v>421</v>
      </c>
      <c r="J813">
        <v>0</v>
      </c>
      <c r="K813">
        <v>0</v>
      </c>
      <c r="L813">
        <v>0</v>
      </c>
      <c r="M813">
        <v>0</v>
      </c>
      <c r="N813" s="5">
        <v>0</v>
      </c>
      <c r="O813">
        <v>0</v>
      </c>
    </row>
    <row r="814" spans="1:15" hidden="1" x14ac:dyDescent="0.25">
      <c r="A814" s="2" t="s">
        <v>5073</v>
      </c>
      <c r="B814" s="3">
        <v>44114</v>
      </c>
      <c r="C814" s="2" t="s">
        <v>5074</v>
      </c>
      <c r="D814" t="s">
        <v>6165</v>
      </c>
      <c r="E814" s="2">
        <v>6</v>
      </c>
      <c r="F814" s="2" t="s">
        <v>5080</v>
      </c>
      <c r="G814" s="4" t="s">
        <v>5081</v>
      </c>
      <c r="H814" s="2" t="s">
        <v>28</v>
      </c>
      <c r="I814" s="2" t="s">
        <v>224</v>
      </c>
      <c r="J814">
        <v>0</v>
      </c>
      <c r="K814">
        <v>0</v>
      </c>
      <c r="L814">
        <v>0</v>
      </c>
      <c r="M814">
        <v>0</v>
      </c>
      <c r="N814" s="5">
        <v>0</v>
      </c>
      <c r="O814">
        <v>0</v>
      </c>
    </row>
    <row r="815" spans="1:15" hidden="1" x14ac:dyDescent="0.25">
      <c r="A815" s="2" t="s">
        <v>5084</v>
      </c>
      <c r="B815" s="3">
        <v>44173</v>
      </c>
      <c r="C815" s="2" t="s">
        <v>5085</v>
      </c>
      <c r="D815" t="s">
        <v>6166</v>
      </c>
      <c r="E815" s="2">
        <v>1</v>
      </c>
      <c r="F815" s="2" t="s">
        <v>5086</v>
      </c>
      <c r="G815" s="4" t="s">
        <v>5087</v>
      </c>
      <c r="H815" s="2" t="s">
        <v>19</v>
      </c>
      <c r="I815" s="2" t="s">
        <v>77</v>
      </c>
      <c r="J815">
        <v>0</v>
      </c>
      <c r="K815">
        <v>0</v>
      </c>
      <c r="L815">
        <v>0</v>
      </c>
      <c r="M815">
        <v>0</v>
      </c>
      <c r="N815" s="5">
        <v>0</v>
      </c>
      <c r="O815">
        <v>0</v>
      </c>
    </row>
    <row r="816" spans="1:15" hidden="1" x14ac:dyDescent="0.25">
      <c r="A816" s="2" t="s">
        <v>5090</v>
      </c>
      <c r="B816" s="3">
        <v>43573</v>
      </c>
      <c r="C816" s="2" t="s">
        <v>5091</v>
      </c>
      <c r="D816" t="s">
        <v>6184</v>
      </c>
      <c r="E816" s="2">
        <v>2</v>
      </c>
      <c r="F816" s="2" t="s">
        <v>5092</v>
      </c>
      <c r="G816" s="4" t="s">
        <v>5093</v>
      </c>
      <c r="H816" s="2" t="s">
        <v>19</v>
      </c>
      <c r="I816" s="2" t="s">
        <v>47</v>
      </c>
      <c r="J816">
        <v>0</v>
      </c>
      <c r="K816">
        <v>0</v>
      </c>
      <c r="L816">
        <v>0</v>
      </c>
      <c r="M816">
        <v>0</v>
      </c>
      <c r="N816" s="5">
        <v>0</v>
      </c>
      <c r="O816">
        <v>0</v>
      </c>
    </row>
    <row r="817" spans="1:15" hidden="1" x14ac:dyDescent="0.25">
      <c r="A817" s="2" t="s">
        <v>5096</v>
      </c>
      <c r="B817" s="3">
        <v>44200</v>
      </c>
      <c r="C817" s="2" t="s">
        <v>5097</v>
      </c>
      <c r="D817" t="s">
        <v>6146</v>
      </c>
      <c r="E817" s="2">
        <v>6</v>
      </c>
      <c r="F817" s="2" t="s">
        <v>5098</v>
      </c>
      <c r="G817" s="4" t="s">
        <v>5099</v>
      </c>
      <c r="H817" s="2" t="s">
        <v>19</v>
      </c>
      <c r="I817" s="2" t="s">
        <v>84</v>
      </c>
      <c r="J817">
        <v>0</v>
      </c>
      <c r="K817">
        <v>0</v>
      </c>
      <c r="L817">
        <v>0</v>
      </c>
      <c r="M817">
        <v>0</v>
      </c>
      <c r="N817" s="5">
        <v>0</v>
      </c>
      <c r="O817">
        <v>0</v>
      </c>
    </row>
    <row r="818" spans="1:15" hidden="1" x14ac:dyDescent="0.25">
      <c r="A818" s="2" t="s">
        <v>5102</v>
      </c>
      <c r="B818" s="3">
        <v>43534</v>
      </c>
      <c r="C818" s="2" t="s">
        <v>5103</v>
      </c>
      <c r="D818" t="s">
        <v>6161</v>
      </c>
      <c r="E818" s="2">
        <v>4</v>
      </c>
      <c r="F818" s="2" t="s">
        <v>5104</v>
      </c>
      <c r="G818" s="4" t="s">
        <v>5105</v>
      </c>
      <c r="H818" s="2" t="s">
        <v>318</v>
      </c>
      <c r="I818" s="2" t="s">
        <v>1419</v>
      </c>
      <c r="J818">
        <v>0</v>
      </c>
      <c r="K818">
        <v>0</v>
      </c>
      <c r="L818">
        <v>0</v>
      </c>
      <c r="M818">
        <v>0</v>
      </c>
      <c r="N818" s="5">
        <v>0</v>
      </c>
      <c r="O818">
        <v>0</v>
      </c>
    </row>
    <row r="819" spans="1:15" hidden="1" x14ac:dyDescent="0.25">
      <c r="A819" s="2" t="s">
        <v>5107</v>
      </c>
      <c r="B819" s="3">
        <v>43798</v>
      </c>
      <c r="C819" s="2" t="s">
        <v>5108</v>
      </c>
      <c r="D819" t="s">
        <v>6169</v>
      </c>
      <c r="E819" s="2">
        <v>2</v>
      </c>
      <c r="F819" s="2" t="s">
        <v>5109</v>
      </c>
      <c r="G819" s="4" t="s">
        <v>5110</v>
      </c>
      <c r="H819" s="2" t="s">
        <v>19</v>
      </c>
      <c r="I819" s="2" t="s">
        <v>120</v>
      </c>
      <c r="J819">
        <v>0</v>
      </c>
      <c r="K819">
        <v>0</v>
      </c>
      <c r="L819">
        <v>0</v>
      </c>
      <c r="M819">
        <v>0</v>
      </c>
      <c r="N819" s="5">
        <v>0</v>
      </c>
      <c r="O819">
        <v>0</v>
      </c>
    </row>
    <row r="820" spans="1:15" hidden="1" x14ac:dyDescent="0.25">
      <c r="A820" s="2" t="s">
        <v>5112</v>
      </c>
      <c r="B820" s="3">
        <v>44761</v>
      </c>
      <c r="C820" s="2" t="s">
        <v>5113</v>
      </c>
      <c r="D820" t="s">
        <v>6170</v>
      </c>
      <c r="E820" s="2">
        <v>5</v>
      </c>
      <c r="F820" s="2" t="s">
        <v>5114</v>
      </c>
      <c r="G820" s="4">
        <v>0</v>
      </c>
      <c r="H820" s="2" t="s">
        <v>19</v>
      </c>
      <c r="I820" s="2" t="s">
        <v>63</v>
      </c>
      <c r="J820">
        <v>0</v>
      </c>
      <c r="K820">
        <v>0</v>
      </c>
      <c r="L820">
        <v>0</v>
      </c>
      <c r="M820">
        <v>0</v>
      </c>
      <c r="N820" s="5">
        <v>0</v>
      </c>
      <c r="O820">
        <v>0</v>
      </c>
    </row>
    <row r="821" spans="1:15" hidden="1" x14ac:dyDescent="0.25">
      <c r="A821" s="2" t="s">
        <v>5117</v>
      </c>
      <c r="B821" s="3">
        <v>44008</v>
      </c>
      <c r="C821" s="2" t="s">
        <v>5118</v>
      </c>
      <c r="D821" t="s">
        <v>6145</v>
      </c>
      <c r="E821" s="2">
        <v>1</v>
      </c>
      <c r="F821" s="2" t="s">
        <v>5119</v>
      </c>
      <c r="G821" s="4" t="s">
        <v>5120</v>
      </c>
      <c r="H821" s="2" t="s">
        <v>19</v>
      </c>
      <c r="I821" s="2" t="s">
        <v>47</v>
      </c>
      <c r="J821">
        <v>0</v>
      </c>
      <c r="K821">
        <v>0</v>
      </c>
      <c r="L821">
        <v>0</v>
      </c>
      <c r="M821">
        <v>0</v>
      </c>
      <c r="N821" s="5">
        <v>0</v>
      </c>
      <c r="O821">
        <v>0</v>
      </c>
    </row>
    <row r="822" spans="1:15" hidden="1" x14ac:dyDescent="0.25">
      <c r="A822" s="2" t="s">
        <v>5123</v>
      </c>
      <c r="B822" s="3">
        <v>43510</v>
      </c>
      <c r="C822" s="2" t="s">
        <v>5124</v>
      </c>
      <c r="D822" t="s">
        <v>6141</v>
      </c>
      <c r="E822" s="2">
        <v>4</v>
      </c>
      <c r="F822" s="2" t="s">
        <v>5125</v>
      </c>
      <c r="G822" s="4" t="s">
        <v>5126</v>
      </c>
      <c r="H822" s="2" t="s">
        <v>19</v>
      </c>
      <c r="I822" s="2" t="s">
        <v>123</v>
      </c>
      <c r="J822">
        <v>0</v>
      </c>
      <c r="K822">
        <v>0</v>
      </c>
      <c r="L822">
        <v>0</v>
      </c>
      <c r="M822">
        <v>0</v>
      </c>
      <c r="N822" s="5">
        <v>0</v>
      </c>
      <c r="O822">
        <v>0</v>
      </c>
    </row>
    <row r="823" spans="1:15" hidden="1" x14ac:dyDescent="0.25">
      <c r="A823" s="2" t="s">
        <v>5129</v>
      </c>
      <c r="B823" s="3">
        <v>44144</v>
      </c>
      <c r="C823" s="2" t="s">
        <v>5130</v>
      </c>
      <c r="D823" t="s">
        <v>6172</v>
      </c>
      <c r="E823" s="2">
        <v>5</v>
      </c>
      <c r="F823" s="2" t="s">
        <v>5131</v>
      </c>
      <c r="G823" s="4" t="s">
        <v>5132</v>
      </c>
      <c r="H823" s="2" t="s">
        <v>19</v>
      </c>
      <c r="I823" s="2" t="s">
        <v>188</v>
      </c>
      <c r="J823">
        <v>0</v>
      </c>
      <c r="K823">
        <v>0</v>
      </c>
      <c r="L823">
        <v>0</v>
      </c>
      <c r="M823">
        <v>0</v>
      </c>
      <c r="N823" s="5">
        <v>0</v>
      </c>
      <c r="O823">
        <v>0</v>
      </c>
    </row>
    <row r="824" spans="1:15" hidden="1" x14ac:dyDescent="0.25">
      <c r="A824" s="2" t="s">
        <v>5135</v>
      </c>
      <c r="B824" s="3">
        <v>43585</v>
      </c>
      <c r="C824" s="2" t="s">
        <v>5136</v>
      </c>
      <c r="D824" t="s">
        <v>6148</v>
      </c>
      <c r="E824" s="2">
        <v>4</v>
      </c>
      <c r="F824" s="2" t="s">
        <v>5137</v>
      </c>
      <c r="G824" s="4" t="s">
        <v>5138</v>
      </c>
      <c r="H824" s="2" t="s">
        <v>19</v>
      </c>
      <c r="I824" s="2" t="s">
        <v>129</v>
      </c>
      <c r="J824">
        <v>0</v>
      </c>
      <c r="K824">
        <v>0</v>
      </c>
      <c r="L824">
        <v>0</v>
      </c>
      <c r="M824">
        <v>0</v>
      </c>
      <c r="N824" s="5">
        <v>0</v>
      </c>
      <c r="O824">
        <v>0</v>
      </c>
    </row>
    <row r="825" spans="1:15" hidden="1" x14ac:dyDescent="0.25">
      <c r="A825" s="2" t="s">
        <v>5141</v>
      </c>
      <c r="B825" s="3">
        <v>44134</v>
      </c>
      <c r="C825" s="2" t="s">
        <v>5142</v>
      </c>
      <c r="D825" t="s">
        <v>6170</v>
      </c>
      <c r="E825" s="2">
        <v>3</v>
      </c>
      <c r="F825" s="2" t="s">
        <v>5143</v>
      </c>
      <c r="G825" s="4" t="s">
        <v>5144</v>
      </c>
      <c r="H825" s="2" t="s">
        <v>19</v>
      </c>
      <c r="I825" s="2" t="s">
        <v>74</v>
      </c>
      <c r="J825">
        <v>0</v>
      </c>
      <c r="K825">
        <v>0</v>
      </c>
      <c r="L825">
        <v>0</v>
      </c>
      <c r="M825">
        <v>0</v>
      </c>
      <c r="N825" s="5">
        <v>0</v>
      </c>
      <c r="O825">
        <v>0</v>
      </c>
    </row>
    <row r="826" spans="1:15" hidden="1" x14ac:dyDescent="0.25">
      <c r="A826" s="2" t="s">
        <v>5147</v>
      </c>
      <c r="B826" s="3">
        <v>43781</v>
      </c>
      <c r="C826" s="2" t="s">
        <v>5148</v>
      </c>
      <c r="D826" t="s">
        <v>6152</v>
      </c>
      <c r="E826" s="2">
        <v>5</v>
      </c>
      <c r="F826" s="2" t="s">
        <v>5149</v>
      </c>
      <c r="G826" s="4" t="s">
        <v>5150</v>
      </c>
      <c r="H826" s="2" t="s">
        <v>19</v>
      </c>
      <c r="I826" s="2" t="s">
        <v>35</v>
      </c>
      <c r="J826">
        <v>0</v>
      </c>
      <c r="K826">
        <v>0</v>
      </c>
      <c r="L826">
        <v>0</v>
      </c>
      <c r="M826">
        <v>0</v>
      </c>
      <c r="N826" s="5">
        <v>0</v>
      </c>
      <c r="O826">
        <v>0</v>
      </c>
    </row>
    <row r="827" spans="1:15" hidden="1" x14ac:dyDescent="0.25">
      <c r="A827" s="2" t="s">
        <v>5152</v>
      </c>
      <c r="B827" s="3">
        <v>44603</v>
      </c>
      <c r="C827" s="2" t="s">
        <v>5188</v>
      </c>
      <c r="D827" t="s">
        <v>6147</v>
      </c>
      <c r="E827" s="2">
        <v>3</v>
      </c>
      <c r="F827" s="2" t="s">
        <v>5154</v>
      </c>
      <c r="G827" s="4" t="s">
        <v>5155</v>
      </c>
      <c r="H827" s="2" t="s">
        <v>19</v>
      </c>
      <c r="I827" s="2" t="s">
        <v>58</v>
      </c>
      <c r="J827">
        <v>0</v>
      </c>
      <c r="K827">
        <v>0</v>
      </c>
      <c r="L827">
        <v>0</v>
      </c>
      <c r="M827">
        <v>0</v>
      </c>
      <c r="N827" s="5">
        <v>0</v>
      </c>
      <c r="O827">
        <v>0</v>
      </c>
    </row>
    <row r="828" spans="1:15" hidden="1" x14ac:dyDescent="0.25">
      <c r="A828" s="2" t="s">
        <v>5158</v>
      </c>
      <c r="B828" s="3">
        <v>44283</v>
      </c>
      <c r="C828" s="2" t="s">
        <v>5159</v>
      </c>
      <c r="D828" t="s">
        <v>6139</v>
      </c>
      <c r="E828" s="2">
        <v>5</v>
      </c>
      <c r="F828" s="2" t="s">
        <v>5160</v>
      </c>
      <c r="G828" s="4" t="s">
        <v>5161</v>
      </c>
      <c r="H828" s="2" t="s">
        <v>19</v>
      </c>
      <c r="I828" s="2" t="s">
        <v>250</v>
      </c>
      <c r="J828">
        <v>0</v>
      </c>
      <c r="K828">
        <v>0</v>
      </c>
      <c r="L828">
        <v>0</v>
      </c>
      <c r="M828">
        <v>0</v>
      </c>
      <c r="N828" s="5">
        <v>0</v>
      </c>
      <c r="O828">
        <v>0</v>
      </c>
    </row>
    <row r="829" spans="1:15" hidden="1" x14ac:dyDescent="0.25">
      <c r="A829" s="2" t="s">
        <v>5164</v>
      </c>
      <c r="B829" s="3">
        <v>44540</v>
      </c>
      <c r="C829" s="2" t="s">
        <v>5165</v>
      </c>
      <c r="D829" t="s">
        <v>6156</v>
      </c>
      <c r="E829" s="2">
        <v>5</v>
      </c>
      <c r="F829" s="2" t="s">
        <v>5166</v>
      </c>
      <c r="G829" s="4" t="s">
        <v>5167</v>
      </c>
      <c r="H829" s="2" t="s">
        <v>19</v>
      </c>
      <c r="I829" s="2" t="s">
        <v>47</v>
      </c>
      <c r="J829">
        <v>0</v>
      </c>
      <c r="K829">
        <v>0</v>
      </c>
      <c r="L829">
        <v>0</v>
      </c>
      <c r="M829">
        <v>0</v>
      </c>
      <c r="N829" s="5">
        <v>0</v>
      </c>
      <c r="O829">
        <v>0</v>
      </c>
    </row>
    <row r="830" spans="1:15" hidden="1" x14ac:dyDescent="0.25">
      <c r="A830" s="2" t="s">
        <v>5170</v>
      </c>
      <c r="B830" s="3">
        <v>44505</v>
      </c>
      <c r="C830" s="2" t="s">
        <v>5171</v>
      </c>
      <c r="D830" t="s">
        <v>6168</v>
      </c>
      <c r="E830" s="2">
        <v>6</v>
      </c>
      <c r="F830" s="2" t="s">
        <v>5172</v>
      </c>
      <c r="G830" s="4" t="s">
        <v>5173</v>
      </c>
      <c r="H830" s="2" t="s">
        <v>19</v>
      </c>
      <c r="I830" s="2" t="s">
        <v>263</v>
      </c>
      <c r="J830">
        <v>0</v>
      </c>
      <c r="K830">
        <v>0</v>
      </c>
      <c r="L830">
        <v>0</v>
      </c>
      <c r="M830">
        <v>0</v>
      </c>
      <c r="N830" s="5">
        <v>0</v>
      </c>
      <c r="O830">
        <v>0</v>
      </c>
    </row>
    <row r="831" spans="1:15" hidden="1" x14ac:dyDescent="0.25">
      <c r="A831" s="2" t="s">
        <v>5176</v>
      </c>
      <c r="B831" s="3">
        <v>43890</v>
      </c>
      <c r="C831" s="2" t="s">
        <v>5177</v>
      </c>
      <c r="D831" t="s">
        <v>6154</v>
      </c>
      <c r="E831" s="2">
        <v>1</v>
      </c>
      <c r="F831" s="2" t="s">
        <v>5178</v>
      </c>
      <c r="G831" s="4" t="s">
        <v>5179</v>
      </c>
      <c r="H831" s="2" t="s">
        <v>19</v>
      </c>
      <c r="I831" s="2" t="s">
        <v>26</v>
      </c>
      <c r="J831">
        <v>0</v>
      </c>
      <c r="K831">
        <v>0</v>
      </c>
      <c r="L831">
        <v>0</v>
      </c>
      <c r="M831">
        <v>0</v>
      </c>
      <c r="N831" s="5">
        <v>0</v>
      </c>
      <c r="O831">
        <v>0</v>
      </c>
    </row>
    <row r="832" spans="1:15" hidden="1" x14ac:dyDescent="0.25">
      <c r="A832" s="2" t="s">
        <v>5182</v>
      </c>
      <c r="B832" s="3">
        <v>44414</v>
      </c>
      <c r="C832" s="2" t="s">
        <v>5183</v>
      </c>
      <c r="D832" t="s">
        <v>6141</v>
      </c>
      <c r="E832" s="2">
        <v>2</v>
      </c>
      <c r="F832" s="2" t="s">
        <v>5184</v>
      </c>
      <c r="G832" s="4" t="s">
        <v>5185</v>
      </c>
      <c r="H832" s="2" t="s">
        <v>19</v>
      </c>
      <c r="I832" s="2" t="s">
        <v>46</v>
      </c>
      <c r="J832">
        <v>0</v>
      </c>
      <c r="K832">
        <v>0</v>
      </c>
      <c r="L832">
        <v>0</v>
      </c>
      <c r="M832">
        <v>0</v>
      </c>
      <c r="N832" s="5">
        <v>0</v>
      </c>
      <c r="O832">
        <v>0</v>
      </c>
    </row>
    <row r="833" spans="1:15" hidden="1" x14ac:dyDescent="0.25">
      <c r="A833" s="2" t="s">
        <v>5182</v>
      </c>
      <c r="B833" s="3">
        <v>44414</v>
      </c>
      <c r="C833" s="2" t="s">
        <v>5183</v>
      </c>
      <c r="D833" t="s">
        <v>6154</v>
      </c>
      <c r="E833" s="2">
        <v>2</v>
      </c>
      <c r="F833" s="2" t="s">
        <v>5189</v>
      </c>
      <c r="G833" s="4" t="s">
        <v>5190</v>
      </c>
      <c r="H833" s="2" t="s">
        <v>19</v>
      </c>
      <c r="I833" s="2" t="s">
        <v>77</v>
      </c>
      <c r="J833">
        <v>0</v>
      </c>
      <c r="K833">
        <v>0</v>
      </c>
      <c r="L833">
        <v>0</v>
      </c>
      <c r="M833">
        <v>0</v>
      </c>
      <c r="N833" s="5">
        <v>0</v>
      </c>
      <c r="O833">
        <v>0</v>
      </c>
    </row>
    <row r="834" spans="1:15" hidden="1" x14ac:dyDescent="0.25">
      <c r="A834" s="2" t="s">
        <v>5193</v>
      </c>
      <c r="B834" s="3">
        <v>44274</v>
      </c>
      <c r="C834" s="2" t="s">
        <v>5194</v>
      </c>
      <c r="D834" t="s">
        <v>6138</v>
      </c>
      <c r="E834" s="2">
        <v>6</v>
      </c>
      <c r="F834" s="2" t="s">
        <v>5195</v>
      </c>
      <c r="G834" s="4" t="s">
        <v>5196</v>
      </c>
      <c r="H834" s="2" t="s">
        <v>19</v>
      </c>
      <c r="I834" s="2" t="s">
        <v>267</v>
      </c>
      <c r="J834">
        <v>0</v>
      </c>
      <c r="K834">
        <v>0</v>
      </c>
      <c r="L834">
        <v>0</v>
      </c>
      <c r="M834">
        <v>0</v>
      </c>
      <c r="N834" s="5">
        <v>0</v>
      </c>
      <c r="O834">
        <v>0</v>
      </c>
    </row>
    <row r="835" spans="1:15" hidden="1" x14ac:dyDescent="0.25">
      <c r="A835" s="2" t="s">
        <v>5199</v>
      </c>
      <c r="B835" s="3">
        <v>44302</v>
      </c>
      <c r="C835" s="2" t="s">
        <v>5200</v>
      </c>
      <c r="D835" t="s">
        <v>6149</v>
      </c>
      <c r="E835" s="2">
        <v>4</v>
      </c>
      <c r="F835" s="2" t="s">
        <v>5201</v>
      </c>
      <c r="G835" s="4" t="s">
        <v>5202</v>
      </c>
      <c r="H835" s="2" t="s">
        <v>19</v>
      </c>
      <c r="I835" s="2" t="s">
        <v>106</v>
      </c>
      <c r="J835">
        <v>0</v>
      </c>
      <c r="K835">
        <v>0</v>
      </c>
      <c r="L835">
        <v>0</v>
      </c>
      <c r="M835">
        <v>0</v>
      </c>
      <c r="N835" s="5">
        <v>0</v>
      </c>
      <c r="O835">
        <v>0</v>
      </c>
    </row>
    <row r="836" spans="1:15" hidden="1" x14ac:dyDescent="0.25">
      <c r="A836" s="2" t="s">
        <v>5205</v>
      </c>
      <c r="B836" s="3">
        <v>44141</v>
      </c>
      <c r="C836" s="2" t="s">
        <v>5206</v>
      </c>
      <c r="D836" t="s">
        <v>6168</v>
      </c>
      <c r="E836" s="2">
        <v>1</v>
      </c>
      <c r="F836" s="2" t="s">
        <v>5207</v>
      </c>
      <c r="G836" s="4" t="s">
        <v>5208</v>
      </c>
      <c r="H836" s="2" t="s">
        <v>19</v>
      </c>
      <c r="I836" s="2" t="s">
        <v>127</v>
      </c>
      <c r="J836">
        <v>0</v>
      </c>
      <c r="K836">
        <v>0</v>
      </c>
      <c r="L836">
        <v>0</v>
      </c>
      <c r="M836">
        <v>0</v>
      </c>
      <c r="N836" s="5">
        <v>0</v>
      </c>
      <c r="O836">
        <v>0</v>
      </c>
    </row>
    <row r="837" spans="1:15" hidden="1" x14ac:dyDescent="0.25">
      <c r="A837" s="2" t="s">
        <v>5211</v>
      </c>
      <c r="B837" s="3">
        <v>44270</v>
      </c>
      <c r="C837" s="2" t="s">
        <v>5212</v>
      </c>
      <c r="D837" t="s">
        <v>6176</v>
      </c>
      <c r="E837" s="2">
        <v>1</v>
      </c>
      <c r="F837" s="2" t="s">
        <v>5213</v>
      </c>
      <c r="G837" s="4" t="s">
        <v>5214</v>
      </c>
      <c r="H837" s="2" t="s">
        <v>19</v>
      </c>
      <c r="I837" s="2" t="s">
        <v>126</v>
      </c>
      <c r="J837">
        <v>0</v>
      </c>
      <c r="K837">
        <v>0</v>
      </c>
      <c r="L837">
        <v>0</v>
      </c>
      <c r="M837">
        <v>0</v>
      </c>
      <c r="N837" s="5">
        <v>0</v>
      </c>
      <c r="O837">
        <v>0</v>
      </c>
    </row>
    <row r="838" spans="1:15" hidden="1" x14ac:dyDescent="0.25">
      <c r="A838" s="2" t="s">
        <v>5216</v>
      </c>
      <c r="B838" s="3">
        <v>44486</v>
      </c>
      <c r="C838" s="2" t="s">
        <v>5217</v>
      </c>
      <c r="D838" t="s">
        <v>6154</v>
      </c>
      <c r="E838" s="2">
        <v>4</v>
      </c>
      <c r="F838" s="2" t="s">
        <v>5218</v>
      </c>
      <c r="G838" s="4" t="s">
        <v>5219</v>
      </c>
      <c r="H838" s="2" t="s">
        <v>19</v>
      </c>
      <c r="I838" s="2" t="s">
        <v>351</v>
      </c>
      <c r="J838">
        <v>0</v>
      </c>
      <c r="K838">
        <v>0</v>
      </c>
      <c r="L838">
        <v>0</v>
      </c>
      <c r="M838">
        <v>0</v>
      </c>
      <c r="N838" s="5">
        <v>0</v>
      </c>
      <c r="O838">
        <v>0</v>
      </c>
    </row>
    <row r="839" spans="1:15" hidden="1" x14ac:dyDescent="0.25">
      <c r="A839" s="2" t="s">
        <v>5222</v>
      </c>
      <c r="B839" s="3">
        <v>43715</v>
      </c>
      <c r="C839" s="2" t="s">
        <v>5113</v>
      </c>
      <c r="D839" t="s">
        <v>6181</v>
      </c>
      <c r="E839" s="2">
        <v>3</v>
      </c>
      <c r="F839" s="2" t="s">
        <v>5224</v>
      </c>
      <c r="G839" s="4" t="s">
        <v>5225</v>
      </c>
      <c r="H839" s="2" t="s">
        <v>19</v>
      </c>
      <c r="I839" s="2" t="s">
        <v>80</v>
      </c>
      <c r="J839">
        <v>0</v>
      </c>
      <c r="K839">
        <v>0</v>
      </c>
      <c r="L839">
        <v>0</v>
      </c>
      <c r="M839">
        <v>0</v>
      </c>
      <c r="N839" s="5">
        <v>0</v>
      </c>
      <c r="O839">
        <v>0</v>
      </c>
    </row>
    <row r="840" spans="1:15" hidden="1" x14ac:dyDescent="0.25">
      <c r="A840" s="2" t="s">
        <v>5228</v>
      </c>
      <c r="B840" s="3">
        <v>44755</v>
      </c>
      <c r="C840" s="2" t="s">
        <v>5229</v>
      </c>
      <c r="D840" t="s">
        <v>6168</v>
      </c>
      <c r="E840" s="2">
        <v>5</v>
      </c>
      <c r="F840" s="2" t="s">
        <v>5230</v>
      </c>
      <c r="G840" s="4" t="s">
        <v>5231</v>
      </c>
      <c r="H840" s="2" t="s">
        <v>19</v>
      </c>
      <c r="I840" s="2" t="s">
        <v>47</v>
      </c>
      <c r="J840">
        <v>0</v>
      </c>
      <c r="K840">
        <v>0</v>
      </c>
      <c r="L840">
        <v>0</v>
      </c>
      <c r="M840">
        <v>0</v>
      </c>
      <c r="N840" s="5">
        <v>0</v>
      </c>
      <c r="O840">
        <v>0</v>
      </c>
    </row>
    <row r="841" spans="1:15" hidden="1" x14ac:dyDescent="0.25">
      <c r="A841" s="2" t="s">
        <v>5234</v>
      </c>
      <c r="B841" s="3">
        <v>44521</v>
      </c>
      <c r="C841" s="2" t="s">
        <v>5235</v>
      </c>
      <c r="D841" t="s">
        <v>6139</v>
      </c>
      <c r="E841" s="2">
        <v>5</v>
      </c>
      <c r="F841" s="2" t="s">
        <v>5236</v>
      </c>
      <c r="G841" s="4" t="s">
        <v>5237</v>
      </c>
      <c r="H841" s="2" t="s">
        <v>19</v>
      </c>
      <c r="I841" s="2" t="s">
        <v>207</v>
      </c>
      <c r="J841">
        <v>0</v>
      </c>
      <c r="K841">
        <v>0</v>
      </c>
      <c r="L841">
        <v>0</v>
      </c>
      <c r="M841">
        <v>0</v>
      </c>
      <c r="N841" s="5">
        <v>0</v>
      </c>
      <c r="O841">
        <v>0</v>
      </c>
    </row>
    <row r="842" spans="1:15" hidden="1" x14ac:dyDescent="0.25">
      <c r="A842" s="2" t="s">
        <v>5240</v>
      </c>
      <c r="B842" s="3">
        <v>44574</v>
      </c>
      <c r="C842" s="2" t="s">
        <v>5241</v>
      </c>
      <c r="D842" t="s">
        <v>6173</v>
      </c>
      <c r="E842" s="2">
        <v>4</v>
      </c>
      <c r="F842" s="2" t="s">
        <v>5242</v>
      </c>
      <c r="G842" s="4" t="s">
        <v>5243</v>
      </c>
      <c r="H842" s="2" t="s">
        <v>19</v>
      </c>
      <c r="I842" s="2" t="s">
        <v>271</v>
      </c>
      <c r="J842">
        <v>0</v>
      </c>
      <c r="K842">
        <v>0</v>
      </c>
      <c r="L842">
        <v>0</v>
      </c>
      <c r="M842">
        <v>0</v>
      </c>
      <c r="N842" s="5">
        <v>0</v>
      </c>
      <c r="O842">
        <v>0</v>
      </c>
    </row>
    <row r="843" spans="1:15" hidden="1" x14ac:dyDescent="0.25">
      <c r="A843" s="2" t="s">
        <v>5246</v>
      </c>
      <c r="B843" s="3">
        <v>44755</v>
      </c>
      <c r="C843" s="2" t="s">
        <v>5247</v>
      </c>
      <c r="D843" t="s">
        <v>6159</v>
      </c>
      <c r="E843" s="2">
        <v>1</v>
      </c>
      <c r="F843" s="2" t="s">
        <v>5248</v>
      </c>
      <c r="G843" s="4" t="s">
        <v>5249</v>
      </c>
      <c r="H843" s="2" t="s">
        <v>19</v>
      </c>
      <c r="I843" s="2" t="s">
        <v>50</v>
      </c>
      <c r="J843">
        <v>0</v>
      </c>
      <c r="K843">
        <v>0</v>
      </c>
      <c r="L843">
        <v>0</v>
      </c>
      <c r="M843">
        <v>0</v>
      </c>
      <c r="N843" s="5">
        <v>0</v>
      </c>
      <c r="O843">
        <v>0</v>
      </c>
    </row>
    <row r="844" spans="1:15" hidden="1" x14ac:dyDescent="0.25">
      <c r="A844" s="2" t="s">
        <v>5251</v>
      </c>
      <c r="B844" s="3">
        <v>44502</v>
      </c>
      <c r="C844" s="2" t="s">
        <v>5188</v>
      </c>
      <c r="D844" t="s">
        <v>6156</v>
      </c>
      <c r="E844" s="2">
        <v>2</v>
      </c>
      <c r="F844" s="2" t="s">
        <v>5253</v>
      </c>
      <c r="G844" s="4" t="s">
        <v>5254</v>
      </c>
      <c r="H844" s="2" t="s">
        <v>19</v>
      </c>
      <c r="I844" s="2" t="s">
        <v>446</v>
      </c>
      <c r="J844">
        <v>0</v>
      </c>
      <c r="K844">
        <v>0</v>
      </c>
      <c r="L844">
        <v>0</v>
      </c>
      <c r="M844">
        <v>0</v>
      </c>
      <c r="N844" s="5">
        <v>0</v>
      </c>
      <c r="O844">
        <v>0</v>
      </c>
    </row>
    <row r="845" spans="1:15" hidden="1" x14ac:dyDescent="0.25">
      <c r="A845" s="2" t="s">
        <v>5256</v>
      </c>
      <c r="B845" s="3">
        <v>44387</v>
      </c>
      <c r="C845" s="2" t="s">
        <v>5257</v>
      </c>
      <c r="D845" t="s">
        <v>6156</v>
      </c>
      <c r="E845" s="2">
        <v>2</v>
      </c>
      <c r="F845" s="2" t="s">
        <v>5258</v>
      </c>
      <c r="G845" s="4" t="s">
        <v>5259</v>
      </c>
      <c r="H845" s="2" t="s">
        <v>19</v>
      </c>
      <c r="I845" s="2" t="s">
        <v>164</v>
      </c>
      <c r="J845">
        <v>0</v>
      </c>
      <c r="K845">
        <v>0</v>
      </c>
      <c r="L845">
        <v>0</v>
      </c>
      <c r="M845">
        <v>0</v>
      </c>
      <c r="N845" s="5">
        <v>0</v>
      </c>
      <c r="O845">
        <v>0</v>
      </c>
    </row>
    <row r="846" spans="1:15" hidden="1" x14ac:dyDescent="0.25">
      <c r="A846" s="2" t="s">
        <v>5262</v>
      </c>
      <c r="B846" s="3">
        <v>44476</v>
      </c>
      <c r="C846" s="2" t="s">
        <v>5263</v>
      </c>
      <c r="D846" t="s">
        <v>6158</v>
      </c>
      <c r="E846" s="2">
        <v>6</v>
      </c>
      <c r="F846" s="2" t="s">
        <v>5264</v>
      </c>
      <c r="G846" s="4" t="s">
        <v>5265</v>
      </c>
      <c r="H846" s="2" t="s">
        <v>19</v>
      </c>
      <c r="I846" s="2" t="s">
        <v>20</v>
      </c>
      <c r="J846">
        <v>0</v>
      </c>
      <c r="K846">
        <v>0</v>
      </c>
      <c r="L846">
        <v>0</v>
      </c>
      <c r="M846">
        <v>0</v>
      </c>
      <c r="N846" s="5">
        <v>0</v>
      </c>
      <c r="O846">
        <v>0</v>
      </c>
    </row>
    <row r="847" spans="1:15" hidden="1" x14ac:dyDescent="0.25">
      <c r="A847" s="2" t="s">
        <v>5268</v>
      </c>
      <c r="B847" s="3">
        <v>43889</v>
      </c>
      <c r="C847" s="2" t="s">
        <v>5269</v>
      </c>
      <c r="D847" t="s">
        <v>6185</v>
      </c>
      <c r="E847" s="2">
        <v>6</v>
      </c>
      <c r="F847" s="2" t="s">
        <v>5270</v>
      </c>
      <c r="G847" s="4" t="s">
        <v>5271</v>
      </c>
      <c r="H847" s="2" t="s">
        <v>19</v>
      </c>
      <c r="I847" s="2" t="s">
        <v>95</v>
      </c>
      <c r="J847">
        <v>0</v>
      </c>
      <c r="K847">
        <v>0</v>
      </c>
      <c r="L847">
        <v>0</v>
      </c>
      <c r="M847">
        <v>0</v>
      </c>
      <c r="N847" s="5">
        <v>0</v>
      </c>
      <c r="O847">
        <v>0</v>
      </c>
    </row>
    <row r="848" spans="1:15" hidden="1" x14ac:dyDescent="0.25">
      <c r="A848" s="2" t="s">
        <v>5273</v>
      </c>
      <c r="B848" s="3">
        <v>44747</v>
      </c>
      <c r="C848" s="2" t="s">
        <v>5274</v>
      </c>
      <c r="D848" t="s">
        <v>6175</v>
      </c>
      <c r="E848" s="2">
        <v>2</v>
      </c>
      <c r="F848" s="2" t="s">
        <v>5275</v>
      </c>
      <c r="G848" s="4">
        <v>0</v>
      </c>
      <c r="H848" s="2" t="s">
        <v>19</v>
      </c>
      <c r="I848" s="2" t="s">
        <v>259</v>
      </c>
      <c r="J848">
        <v>0</v>
      </c>
      <c r="K848">
        <v>0</v>
      </c>
      <c r="L848">
        <v>0</v>
      </c>
      <c r="M848">
        <v>0</v>
      </c>
      <c r="N848" s="5">
        <v>0</v>
      </c>
      <c r="O848">
        <v>0</v>
      </c>
    </row>
    <row r="849" spans="1:15" hidden="1" x14ac:dyDescent="0.25">
      <c r="A849" s="2" t="s">
        <v>5278</v>
      </c>
      <c r="B849" s="3">
        <v>44460</v>
      </c>
      <c r="C849" s="2" t="s">
        <v>5279</v>
      </c>
      <c r="D849" t="s">
        <v>6154</v>
      </c>
      <c r="E849" s="2">
        <v>3</v>
      </c>
      <c r="F849" s="2" t="s">
        <v>5280</v>
      </c>
      <c r="G849" s="4" t="s">
        <v>5281</v>
      </c>
      <c r="H849" s="2" t="s">
        <v>19</v>
      </c>
      <c r="I849" s="2" t="s">
        <v>119</v>
      </c>
      <c r="J849">
        <v>0</v>
      </c>
      <c r="K849">
        <v>0</v>
      </c>
      <c r="L849">
        <v>0</v>
      </c>
      <c r="M849">
        <v>0</v>
      </c>
      <c r="N849" s="5">
        <v>0</v>
      </c>
      <c r="O849">
        <v>0</v>
      </c>
    </row>
    <row r="850" spans="1:15" hidden="1" x14ac:dyDescent="0.25">
      <c r="A850" s="2" t="s">
        <v>5283</v>
      </c>
      <c r="B850" s="3">
        <v>43468</v>
      </c>
      <c r="C850" s="2" t="s">
        <v>5284</v>
      </c>
      <c r="D850" t="s">
        <v>6176</v>
      </c>
      <c r="E850" s="2">
        <v>6</v>
      </c>
      <c r="F850" s="2" t="s">
        <v>5285</v>
      </c>
      <c r="G850" s="4">
        <v>0</v>
      </c>
      <c r="H850" s="2" t="s">
        <v>19</v>
      </c>
      <c r="I850" s="2" t="s">
        <v>212</v>
      </c>
      <c r="J850">
        <v>0</v>
      </c>
      <c r="K850">
        <v>0</v>
      </c>
      <c r="L850">
        <v>0</v>
      </c>
      <c r="M850">
        <v>0</v>
      </c>
      <c r="N850" s="5">
        <v>0</v>
      </c>
      <c r="O850">
        <v>0</v>
      </c>
    </row>
    <row r="851" spans="1:15" hidden="1" x14ac:dyDescent="0.25">
      <c r="A851" s="2" t="s">
        <v>5288</v>
      </c>
      <c r="B851" s="3">
        <v>44628</v>
      </c>
      <c r="C851" s="2" t="s">
        <v>5289</v>
      </c>
      <c r="D851" t="s">
        <v>6167</v>
      </c>
      <c r="E851" s="2">
        <v>6</v>
      </c>
      <c r="F851" s="2" t="s">
        <v>5290</v>
      </c>
      <c r="G851" s="4" t="s">
        <v>5291</v>
      </c>
      <c r="H851" s="2" t="s">
        <v>19</v>
      </c>
      <c r="I851" s="2" t="s">
        <v>136</v>
      </c>
      <c r="J851">
        <v>0</v>
      </c>
      <c r="K851">
        <v>0</v>
      </c>
      <c r="L851">
        <v>0</v>
      </c>
      <c r="M851">
        <v>0</v>
      </c>
      <c r="N851" s="5">
        <v>0</v>
      </c>
      <c r="O851">
        <v>0</v>
      </c>
    </row>
    <row r="852" spans="1:15" hidden="1" x14ac:dyDescent="0.25">
      <c r="A852" s="2" t="s">
        <v>5288</v>
      </c>
      <c r="B852" s="3">
        <v>44628</v>
      </c>
      <c r="C852" s="2" t="s">
        <v>5289</v>
      </c>
      <c r="D852" t="s">
        <v>6152</v>
      </c>
      <c r="E852" s="2">
        <v>2</v>
      </c>
      <c r="F852" s="2" t="s">
        <v>5295</v>
      </c>
      <c r="G852" s="4" t="s">
        <v>5296</v>
      </c>
      <c r="H852" s="2" t="s">
        <v>19</v>
      </c>
      <c r="I852" s="2" t="s">
        <v>148</v>
      </c>
      <c r="J852">
        <v>0</v>
      </c>
      <c r="K852">
        <v>0</v>
      </c>
      <c r="L852">
        <v>0</v>
      </c>
      <c r="M852">
        <v>0</v>
      </c>
      <c r="N852" s="5">
        <v>0</v>
      </c>
      <c r="O852">
        <v>0</v>
      </c>
    </row>
    <row r="853" spans="1:15" hidden="1" x14ac:dyDescent="0.25">
      <c r="A853" s="2" t="s">
        <v>5299</v>
      </c>
      <c r="B853" s="3">
        <v>43900</v>
      </c>
      <c r="C853" s="2" t="s">
        <v>5300</v>
      </c>
      <c r="D853" t="s">
        <v>6169</v>
      </c>
      <c r="E853" s="2">
        <v>1</v>
      </c>
      <c r="F853" s="2" t="s">
        <v>5301</v>
      </c>
      <c r="G853" s="4" t="s">
        <v>5302</v>
      </c>
      <c r="H853" s="2" t="s">
        <v>19</v>
      </c>
      <c r="I853" s="2" t="s">
        <v>237</v>
      </c>
      <c r="J853">
        <v>0</v>
      </c>
      <c r="K853">
        <v>0</v>
      </c>
      <c r="L853">
        <v>0</v>
      </c>
      <c r="M853">
        <v>0</v>
      </c>
      <c r="N853" s="5">
        <v>0</v>
      </c>
      <c r="O853">
        <v>0</v>
      </c>
    </row>
    <row r="854" spans="1:15" hidden="1" x14ac:dyDescent="0.25">
      <c r="A854" s="2" t="s">
        <v>5305</v>
      </c>
      <c r="B854" s="3">
        <v>44527</v>
      </c>
      <c r="C854" s="2" t="s">
        <v>5306</v>
      </c>
      <c r="D854" t="s">
        <v>6165</v>
      </c>
      <c r="E854" s="2">
        <v>4</v>
      </c>
      <c r="F854" s="2" t="s">
        <v>5307</v>
      </c>
      <c r="G854" s="4" t="s">
        <v>5308</v>
      </c>
      <c r="H854" s="2" t="s">
        <v>19</v>
      </c>
      <c r="I854" s="2" t="s">
        <v>123</v>
      </c>
      <c r="J854">
        <v>0</v>
      </c>
      <c r="K854">
        <v>0</v>
      </c>
      <c r="L854">
        <v>0</v>
      </c>
      <c r="M854">
        <v>0</v>
      </c>
      <c r="N854" s="5">
        <v>0</v>
      </c>
      <c r="O854">
        <v>0</v>
      </c>
    </row>
    <row r="855" spans="1:15" hidden="1" x14ac:dyDescent="0.25">
      <c r="A855" s="2" t="s">
        <v>5310</v>
      </c>
      <c r="B855" s="3">
        <v>44259</v>
      </c>
      <c r="C855" s="2" t="s">
        <v>5311</v>
      </c>
      <c r="D855" t="s">
        <v>6147</v>
      </c>
      <c r="E855" s="2">
        <v>2</v>
      </c>
      <c r="F855" s="2" t="s">
        <v>5312</v>
      </c>
      <c r="G855" s="4" t="s">
        <v>5313</v>
      </c>
      <c r="H855" s="2" t="s">
        <v>19</v>
      </c>
      <c r="I855" s="2" t="s">
        <v>50</v>
      </c>
      <c r="J855">
        <v>0</v>
      </c>
      <c r="K855">
        <v>0</v>
      </c>
      <c r="L855">
        <v>0</v>
      </c>
      <c r="M855">
        <v>0</v>
      </c>
      <c r="N855" s="5">
        <v>0</v>
      </c>
      <c r="O855">
        <v>0</v>
      </c>
    </row>
    <row r="856" spans="1:15" hidden="1" x14ac:dyDescent="0.25">
      <c r="A856" s="2" t="s">
        <v>5315</v>
      </c>
      <c r="B856" s="3">
        <v>44516</v>
      </c>
      <c r="C856" s="2" t="s">
        <v>5316</v>
      </c>
      <c r="D856" t="s">
        <v>6173</v>
      </c>
      <c r="E856" s="2">
        <v>5</v>
      </c>
      <c r="F856" s="2" t="s">
        <v>5317</v>
      </c>
      <c r="G856" s="4" t="s">
        <v>5318</v>
      </c>
      <c r="H856" s="2" t="s">
        <v>19</v>
      </c>
      <c r="I856" s="2" t="s">
        <v>48</v>
      </c>
      <c r="J856">
        <v>0</v>
      </c>
      <c r="K856">
        <v>0</v>
      </c>
      <c r="L856">
        <v>0</v>
      </c>
      <c r="M856">
        <v>0</v>
      </c>
      <c r="N856" s="5">
        <v>0</v>
      </c>
      <c r="O856">
        <v>0</v>
      </c>
    </row>
    <row r="857" spans="1:15" hidden="1" x14ac:dyDescent="0.25">
      <c r="A857" s="2" t="s">
        <v>5321</v>
      </c>
      <c r="B857" s="3">
        <v>43632</v>
      </c>
      <c r="C857" s="2" t="s">
        <v>5322</v>
      </c>
      <c r="D857" t="s">
        <v>6165</v>
      </c>
      <c r="E857" s="2">
        <v>3</v>
      </c>
      <c r="F857" s="2" t="s">
        <v>5323</v>
      </c>
      <c r="G857" s="4" t="s">
        <v>5324</v>
      </c>
      <c r="H857" s="2" t="s">
        <v>19</v>
      </c>
      <c r="I857" s="2" t="s">
        <v>313</v>
      </c>
      <c r="J857">
        <v>0</v>
      </c>
      <c r="K857">
        <v>0</v>
      </c>
      <c r="L857">
        <v>0</v>
      </c>
      <c r="M857">
        <v>0</v>
      </c>
      <c r="N857" s="5">
        <v>0</v>
      </c>
      <c r="O857">
        <v>0</v>
      </c>
    </row>
    <row r="858" spans="1:15" hidden="1" x14ac:dyDescent="0.25">
      <c r="A858" s="2" t="s">
        <v>5327</v>
      </c>
      <c r="B858" s="3">
        <v>44031</v>
      </c>
      <c r="C858" s="2" t="s">
        <v>5188</v>
      </c>
      <c r="D858" t="s">
        <v>6159</v>
      </c>
      <c r="E858" s="2">
        <v>2</v>
      </c>
      <c r="F858" s="2" t="s">
        <v>5329</v>
      </c>
      <c r="G858" s="4" t="s">
        <v>5330</v>
      </c>
      <c r="H858" s="2" t="s">
        <v>28</v>
      </c>
      <c r="I858" s="2" t="s">
        <v>180</v>
      </c>
      <c r="J858">
        <v>0</v>
      </c>
      <c r="K858">
        <v>0</v>
      </c>
      <c r="L858">
        <v>0</v>
      </c>
      <c r="M858">
        <v>0</v>
      </c>
      <c r="N858" s="5">
        <v>0</v>
      </c>
      <c r="O858">
        <v>0</v>
      </c>
    </row>
    <row r="859" spans="1:15" hidden="1" x14ac:dyDescent="0.25">
      <c r="A859" s="2" t="s">
        <v>5333</v>
      </c>
      <c r="B859" s="3">
        <v>43889</v>
      </c>
      <c r="C859" s="2" t="s">
        <v>5334</v>
      </c>
      <c r="D859" t="s">
        <v>6142</v>
      </c>
      <c r="E859" s="2">
        <v>5</v>
      </c>
      <c r="F859" s="2" t="s">
        <v>5335</v>
      </c>
      <c r="G859" s="4" t="s">
        <v>5336</v>
      </c>
      <c r="H859" s="2" t="s">
        <v>19</v>
      </c>
      <c r="I859" s="2" t="s">
        <v>309</v>
      </c>
      <c r="J859">
        <v>0</v>
      </c>
      <c r="K859">
        <v>0</v>
      </c>
      <c r="L859">
        <v>0</v>
      </c>
      <c r="M859">
        <v>0</v>
      </c>
      <c r="N859" s="5">
        <v>0</v>
      </c>
      <c r="O859">
        <v>0</v>
      </c>
    </row>
    <row r="860" spans="1:15" hidden="1" x14ac:dyDescent="0.25">
      <c r="A860" s="2" t="s">
        <v>5339</v>
      </c>
      <c r="B860" s="3">
        <v>43638</v>
      </c>
      <c r="C860" s="2" t="s">
        <v>5340</v>
      </c>
      <c r="D860" t="s">
        <v>6160</v>
      </c>
      <c r="E860" s="2">
        <v>4</v>
      </c>
      <c r="F860" s="2" t="s">
        <v>5341</v>
      </c>
      <c r="G860" s="4" t="s">
        <v>5342</v>
      </c>
      <c r="H860" s="2" t="s">
        <v>19</v>
      </c>
      <c r="I860" s="2" t="s">
        <v>97</v>
      </c>
      <c r="J860">
        <v>0</v>
      </c>
      <c r="K860">
        <v>0</v>
      </c>
      <c r="L860">
        <v>0</v>
      </c>
      <c r="M860">
        <v>0</v>
      </c>
      <c r="N860" s="5">
        <v>0</v>
      </c>
      <c r="O860">
        <v>0</v>
      </c>
    </row>
    <row r="861" spans="1:15" hidden="1" x14ac:dyDescent="0.25">
      <c r="A861" s="2" t="s">
        <v>5345</v>
      </c>
      <c r="B861" s="3">
        <v>43716</v>
      </c>
      <c r="C861" s="2" t="s">
        <v>5346</v>
      </c>
      <c r="D861" t="s">
        <v>6182</v>
      </c>
      <c r="E861" s="2">
        <v>6</v>
      </c>
      <c r="F861" s="2" t="s">
        <v>5347</v>
      </c>
      <c r="G861" s="4" t="s">
        <v>5348</v>
      </c>
      <c r="H861" s="2" t="s">
        <v>19</v>
      </c>
      <c r="I861" s="2" t="s">
        <v>4511</v>
      </c>
      <c r="J861">
        <v>0</v>
      </c>
      <c r="K861">
        <v>0</v>
      </c>
      <c r="L861">
        <v>0</v>
      </c>
      <c r="M861">
        <v>0</v>
      </c>
      <c r="N861" s="5">
        <v>0</v>
      </c>
      <c r="O861">
        <v>0</v>
      </c>
    </row>
    <row r="862" spans="1:15" hidden="1" x14ac:dyDescent="0.25">
      <c r="A862" s="2" t="s">
        <v>5351</v>
      </c>
      <c r="B862" s="3">
        <v>44707</v>
      </c>
      <c r="C862" s="2" t="s">
        <v>5352</v>
      </c>
      <c r="D862" t="s">
        <v>6175</v>
      </c>
      <c r="E862" s="2">
        <v>1</v>
      </c>
      <c r="F862" s="2" t="s">
        <v>5353</v>
      </c>
      <c r="G862" s="4">
        <v>0</v>
      </c>
      <c r="H862" s="2" t="s">
        <v>19</v>
      </c>
      <c r="I862" s="2" t="s">
        <v>319</v>
      </c>
      <c r="J862">
        <v>0</v>
      </c>
      <c r="K862">
        <v>0</v>
      </c>
      <c r="L862">
        <v>0</v>
      </c>
      <c r="M862">
        <v>0</v>
      </c>
      <c r="N862" s="5">
        <v>0</v>
      </c>
      <c r="O862">
        <v>0</v>
      </c>
    </row>
    <row r="863" spans="1:15" hidden="1" x14ac:dyDescent="0.25">
      <c r="A863" s="2" t="s">
        <v>5356</v>
      </c>
      <c r="B863" s="3">
        <v>43802</v>
      </c>
      <c r="C863" s="2" t="s">
        <v>5357</v>
      </c>
      <c r="D863" t="s">
        <v>6143</v>
      </c>
      <c r="E863" s="2">
        <v>6</v>
      </c>
      <c r="F863" s="2" t="s">
        <v>5358</v>
      </c>
      <c r="G863" s="4" t="s">
        <v>5359</v>
      </c>
      <c r="H863" s="2" t="s">
        <v>19</v>
      </c>
      <c r="I863" s="2" t="s">
        <v>49</v>
      </c>
      <c r="J863">
        <v>0</v>
      </c>
      <c r="K863">
        <v>0</v>
      </c>
      <c r="L863">
        <v>0</v>
      </c>
      <c r="M863">
        <v>0</v>
      </c>
      <c r="N863" s="5">
        <v>0</v>
      </c>
      <c r="O863">
        <v>0</v>
      </c>
    </row>
    <row r="864" spans="1:15" hidden="1" x14ac:dyDescent="0.25">
      <c r="A864" s="2" t="s">
        <v>5362</v>
      </c>
      <c r="B864" s="3">
        <v>43725</v>
      </c>
      <c r="C864" s="2" t="s">
        <v>5363</v>
      </c>
      <c r="D864" t="s">
        <v>6138</v>
      </c>
      <c r="E864" s="2">
        <v>1</v>
      </c>
      <c r="F864" s="2" t="s">
        <v>5364</v>
      </c>
      <c r="G864" s="4" t="s">
        <v>5365</v>
      </c>
      <c r="H864" s="2" t="s">
        <v>19</v>
      </c>
      <c r="I864" s="2" t="s">
        <v>27</v>
      </c>
      <c r="J864">
        <v>0</v>
      </c>
      <c r="K864">
        <v>0</v>
      </c>
      <c r="L864">
        <v>0</v>
      </c>
      <c r="M864">
        <v>0</v>
      </c>
      <c r="N864" s="5">
        <v>0</v>
      </c>
      <c r="O864">
        <v>0</v>
      </c>
    </row>
    <row r="865" spans="1:15" hidden="1" x14ac:dyDescent="0.25">
      <c r="A865" s="2" t="s">
        <v>5368</v>
      </c>
      <c r="B865" s="3">
        <v>44712</v>
      </c>
      <c r="C865" s="2" t="s">
        <v>5369</v>
      </c>
      <c r="D865" t="s">
        <v>6162</v>
      </c>
      <c r="E865" s="2">
        <v>2</v>
      </c>
      <c r="F865" s="2" t="s">
        <v>5370</v>
      </c>
      <c r="G865" s="4" t="s">
        <v>5371</v>
      </c>
      <c r="H865" s="2" t="s">
        <v>19</v>
      </c>
      <c r="I865" s="2" t="s">
        <v>92</v>
      </c>
      <c r="J865">
        <v>0</v>
      </c>
      <c r="K865">
        <v>0</v>
      </c>
      <c r="L865">
        <v>0</v>
      </c>
      <c r="M865">
        <v>0</v>
      </c>
      <c r="N865" s="5">
        <v>0</v>
      </c>
      <c r="O865">
        <v>0</v>
      </c>
    </row>
    <row r="866" spans="1:15" hidden="1" x14ac:dyDescent="0.25">
      <c r="A866" s="2" t="s">
        <v>5374</v>
      </c>
      <c r="B866" s="3">
        <v>43759</v>
      </c>
      <c r="C866" s="2" t="s">
        <v>5375</v>
      </c>
      <c r="D866" t="s">
        <v>6178</v>
      </c>
      <c r="E866" s="2">
        <v>6</v>
      </c>
      <c r="F866" s="2" t="s">
        <v>5376</v>
      </c>
      <c r="G866" s="4" t="s">
        <v>5377</v>
      </c>
      <c r="H866" s="2" t="s">
        <v>318</v>
      </c>
      <c r="I866" s="2" t="s">
        <v>483</v>
      </c>
      <c r="J866">
        <v>0</v>
      </c>
      <c r="K866">
        <v>0</v>
      </c>
      <c r="L866">
        <v>0</v>
      </c>
      <c r="M866">
        <v>0</v>
      </c>
      <c r="N866" s="5">
        <v>0</v>
      </c>
      <c r="O866">
        <v>0</v>
      </c>
    </row>
    <row r="867" spans="1:15" hidden="1" x14ac:dyDescent="0.25">
      <c r="A867" s="2" t="s">
        <v>5380</v>
      </c>
      <c r="B867" s="3">
        <v>44675</v>
      </c>
      <c r="C867" s="2" t="s">
        <v>5428</v>
      </c>
      <c r="D867" t="s">
        <v>6157</v>
      </c>
      <c r="E867" s="2">
        <v>1</v>
      </c>
      <c r="F867" s="2" t="s">
        <v>5382</v>
      </c>
      <c r="G867" s="4">
        <v>0</v>
      </c>
      <c r="H867" s="2" t="s">
        <v>19</v>
      </c>
      <c r="I867" s="2" t="s">
        <v>56</v>
      </c>
      <c r="J867">
        <v>0</v>
      </c>
      <c r="K867">
        <v>0</v>
      </c>
      <c r="L867">
        <v>0</v>
      </c>
      <c r="M867">
        <v>0</v>
      </c>
      <c r="N867" s="5">
        <v>0</v>
      </c>
      <c r="O867">
        <v>0</v>
      </c>
    </row>
    <row r="868" spans="1:15" hidden="1" x14ac:dyDescent="0.25">
      <c r="A868" s="2" t="s">
        <v>5385</v>
      </c>
      <c r="B868" s="3">
        <v>44209</v>
      </c>
      <c r="C868" s="2" t="s">
        <v>5386</v>
      </c>
      <c r="D868" t="s">
        <v>6158</v>
      </c>
      <c r="E868" s="2">
        <v>3</v>
      </c>
      <c r="F868" s="2" t="s">
        <v>5387</v>
      </c>
      <c r="G868" s="4" t="s">
        <v>5388</v>
      </c>
      <c r="H868" s="2" t="s">
        <v>318</v>
      </c>
      <c r="I868" s="2" t="s">
        <v>445</v>
      </c>
      <c r="J868">
        <v>0</v>
      </c>
      <c r="K868">
        <v>0</v>
      </c>
      <c r="L868">
        <v>0</v>
      </c>
      <c r="M868">
        <v>0</v>
      </c>
      <c r="N868" s="5">
        <v>0</v>
      </c>
      <c r="O868">
        <v>0</v>
      </c>
    </row>
    <row r="869" spans="1:15" hidden="1" x14ac:dyDescent="0.25">
      <c r="A869" s="2" t="s">
        <v>5391</v>
      </c>
      <c r="B869" s="3">
        <v>44792</v>
      </c>
      <c r="C869" s="2" t="s">
        <v>5392</v>
      </c>
      <c r="D869" t="s">
        <v>6182</v>
      </c>
      <c r="E869" s="2">
        <v>1</v>
      </c>
      <c r="F869" s="2" t="s">
        <v>5393</v>
      </c>
      <c r="G869" s="4" t="s">
        <v>5394</v>
      </c>
      <c r="H869" s="2" t="s">
        <v>318</v>
      </c>
      <c r="I869" s="2" t="s">
        <v>478</v>
      </c>
      <c r="J869">
        <v>0</v>
      </c>
      <c r="K869">
        <v>0</v>
      </c>
      <c r="L869">
        <v>0</v>
      </c>
      <c r="M869">
        <v>0</v>
      </c>
      <c r="N869" s="5">
        <v>0</v>
      </c>
      <c r="O869">
        <v>0</v>
      </c>
    </row>
    <row r="870" spans="1:15" hidden="1" x14ac:dyDescent="0.25">
      <c r="A870" s="2" t="s">
        <v>5396</v>
      </c>
      <c r="B870" s="3">
        <v>43526</v>
      </c>
      <c r="C870" s="2" t="s">
        <v>5397</v>
      </c>
      <c r="D870" t="s">
        <v>6139</v>
      </c>
      <c r="E870" s="2">
        <v>5</v>
      </c>
      <c r="F870" s="2" t="s">
        <v>5398</v>
      </c>
      <c r="G870" s="4" t="s">
        <v>5399</v>
      </c>
      <c r="H870" s="2" t="s">
        <v>19</v>
      </c>
      <c r="I870" s="2" t="s">
        <v>121</v>
      </c>
      <c r="J870">
        <v>0</v>
      </c>
      <c r="K870">
        <v>0</v>
      </c>
      <c r="L870">
        <v>0</v>
      </c>
      <c r="M870">
        <v>0</v>
      </c>
      <c r="N870" s="5">
        <v>0</v>
      </c>
      <c r="O870">
        <v>0</v>
      </c>
    </row>
    <row r="871" spans="1:15" hidden="1" x14ac:dyDescent="0.25">
      <c r="A871" s="2" t="s">
        <v>5402</v>
      </c>
      <c r="B871" s="3">
        <v>43851</v>
      </c>
      <c r="C871" s="2" t="s">
        <v>5403</v>
      </c>
      <c r="D871" t="s">
        <v>6146</v>
      </c>
      <c r="E871" s="2">
        <v>3</v>
      </c>
      <c r="F871" s="2" t="s">
        <v>5404</v>
      </c>
      <c r="G871" s="4">
        <v>0</v>
      </c>
      <c r="H871" s="2" t="s">
        <v>19</v>
      </c>
      <c r="I871" s="2" t="s">
        <v>131</v>
      </c>
      <c r="J871">
        <v>0</v>
      </c>
      <c r="K871">
        <v>0</v>
      </c>
      <c r="L871">
        <v>0</v>
      </c>
      <c r="M871">
        <v>0</v>
      </c>
      <c r="N871" s="5">
        <v>0</v>
      </c>
      <c r="O871">
        <v>0</v>
      </c>
    </row>
    <row r="872" spans="1:15" hidden="1" x14ac:dyDescent="0.25">
      <c r="A872" s="2" t="s">
        <v>5407</v>
      </c>
      <c r="B872" s="3">
        <v>44460</v>
      </c>
      <c r="C872" s="2" t="s">
        <v>5408</v>
      </c>
      <c r="D872" t="s">
        <v>6144</v>
      </c>
      <c r="E872" s="2">
        <v>1</v>
      </c>
      <c r="F872" s="2" t="s">
        <v>5409</v>
      </c>
      <c r="G872" s="4" t="s">
        <v>5410</v>
      </c>
      <c r="H872" s="2" t="s">
        <v>318</v>
      </c>
      <c r="I872" s="2" t="s">
        <v>347</v>
      </c>
      <c r="J872">
        <v>0</v>
      </c>
      <c r="K872">
        <v>0</v>
      </c>
      <c r="L872">
        <v>0</v>
      </c>
      <c r="M872">
        <v>0</v>
      </c>
      <c r="N872" s="5">
        <v>0</v>
      </c>
      <c r="O872">
        <v>0</v>
      </c>
    </row>
    <row r="873" spans="1:15" hidden="1" x14ac:dyDescent="0.25">
      <c r="A873" s="2" t="s">
        <v>5413</v>
      </c>
      <c r="B873" s="3">
        <v>43707</v>
      </c>
      <c r="C873" s="2" t="s">
        <v>5414</v>
      </c>
      <c r="D873" t="s">
        <v>6171</v>
      </c>
      <c r="E873" s="2">
        <v>2</v>
      </c>
      <c r="F873" s="2" t="s">
        <v>5415</v>
      </c>
      <c r="G873" s="4" t="s">
        <v>5416</v>
      </c>
      <c r="H873" s="2" t="s">
        <v>28</v>
      </c>
      <c r="I873" s="2" t="s">
        <v>5419</v>
      </c>
      <c r="J873">
        <v>0</v>
      </c>
      <c r="K873">
        <v>0</v>
      </c>
      <c r="L873">
        <v>0</v>
      </c>
      <c r="M873">
        <v>0</v>
      </c>
      <c r="N873" s="5">
        <v>0</v>
      </c>
      <c r="O873">
        <v>0</v>
      </c>
    </row>
    <row r="874" spans="1:15" hidden="1" x14ac:dyDescent="0.25">
      <c r="A874" s="2" t="s">
        <v>5421</v>
      </c>
      <c r="B874" s="3">
        <v>43521</v>
      </c>
      <c r="C874" s="2" t="s">
        <v>5422</v>
      </c>
      <c r="D874" t="s">
        <v>6155</v>
      </c>
      <c r="E874" s="2">
        <v>2</v>
      </c>
      <c r="F874" s="2" t="s">
        <v>5423</v>
      </c>
      <c r="G874" s="4" t="s">
        <v>5424</v>
      </c>
      <c r="H874" s="2" t="s">
        <v>19</v>
      </c>
      <c r="I874" s="2" t="s">
        <v>171</v>
      </c>
      <c r="J874">
        <v>0</v>
      </c>
      <c r="K874">
        <v>0</v>
      </c>
      <c r="L874">
        <v>0</v>
      </c>
      <c r="M874">
        <v>0</v>
      </c>
      <c r="N874" s="5">
        <v>0</v>
      </c>
      <c r="O874">
        <v>0</v>
      </c>
    </row>
    <row r="875" spans="1:15" hidden="1" x14ac:dyDescent="0.25">
      <c r="A875" s="2" t="s">
        <v>5427</v>
      </c>
      <c r="B875" s="3">
        <v>43725</v>
      </c>
      <c r="C875" s="2" t="s">
        <v>5428</v>
      </c>
      <c r="D875" t="s">
        <v>6174</v>
      </c>
      <c r="E875" s="2">
        <v>4</v>
      </c>
      <c r="F875" s="2" t="s">
        <v>5429</v>
      </c>
      <c r="G875" s="4" t="s">
        <v>5430</v>
      </c>
      <c r="H875" s="2" t="s">
        <v>19</v>
      </c>
      <c r="I875" s="2" t="s">
        <v>48</v>
      </c>
      <c r="J875">
        <v>0</v>
      </c>
      <c r="K875">
        <v>0</v>
      </c>
      <c r="L875">
        <v>0</v>
      </c>
      <c r="M875">
        <v>0</v>
      </c>
      <c r="N875" s="5">
        <v>0</v>
      </c>
      <c r="O875">
        <v>0</v>
      </c>
    </row>
    <row r="876" spans="1:15" hidden="1" x14ac:dyDescent="0.25">
      <c r="A876" s="2" t="s">
        <v>5433</v>
      </c>
      <c r="B876" s="3">
        <v>43680</v>
      </c>
      <c r="C876" s="2" t="s">
        <v>5434</v>
      </c>
      <c r="D876" t="s">
        <v>6140</v>
      </c>
      <c r="E876" s="2">
        <v>2</v>
      </c>
      <c r="F876" s="2" t="s">
        <v>5435</v>
      </c>
      <c r="G876" s="4" t="s">
        <v>5436</v>
      </c>
      <c r="H876" s="2" t="s">
        <v>19</v>
      </c>
      <c r="I876" s="2" t="s">
        <v>63</v>
      </c>
      <c r="J876">
        <v>0</v>
      </c>
      <c r="K876">
        <v>0</v>
      </c>
      <c r="L876">
        <v>0</v>
      </c>
      <c r="M876">
        <v>0</v>
      </c>
      <c r="N876" s="5">
        <v>0</v>
      </c>
      <c r="O876">
        <v>0</v>
      </c>
    </row>
    <row r="877" spans="1:15" hidden="1" x14ac:dyDescent="0.25">
      <c r="A877" s="2" t="s">
        <v>5439</v>
      </c>
      <c r="B877" s="3">
        <v>44253</v>
      </c>
      <c r="C877" s="2" t="s">
        <v>5440</v>
      </c>
      <c r="D877" t="s">
        <v>6160</v>
      </c>
      <c r="E877" s="2">
        <v>5</v>
      </c>
      <c r="F877" s="2" t="s">
        <v>5441</v>
      </c>
      <c r="G877" s="4" t="s">
        <v>5442</v>
      </c>
      <c r="H877" s="2" t="s">
        <v>318</v>
      </c>
      <c r="I877" s="2" t="s">
        <v>384</v>
      </c>
      <c r="J877">
        <v>0</v>
      </c>
      <c r="K877">
        <v>0</v>
      </c>
      <c r="L877">
        <v>0</v>
      </c>
      <c r="M877">
        <v>0</v>
      </c>
      <c r="N877" s="5">
        <v>0</v>
      </c>
      <c r="O877">
        <v>0</v>
      </c>
    </row>
    <row r="878" spans="1:15" hidden="1" x14ac:dyDescent="0.25">
      <c r="A878" s="2" t="s">
        <v>5439</v>
      </c>
      <c r="B878" s="3">
        <v>44253</v>
      </c>
      <c r="C878" s="2" t="s">
        <v>5440</v>
      </c>
      <c r="D878" t="s">
        <v>6180</v>
      </c>
      <c r="E878" s="2">
        <v>6</v>
      </c>
      <c r="F878" s="2" t="s">
        <v>5446</v>
      </c>
      <c r="G878" s="4" t="s">
        <v>5447</v>
      </c>
      <c r="H878" s="2" t="s">
        <v>19</v>
      </c>
      <c r="I878" s="2" t="s">
        <v>47</v>
      </c>
      <c r="J878">
        <v>0</v>
      </c>
      <c r="K878">
        <v>0</v>
      </c>
      <c r="L878">
        <v>0</v>
      </c>
      <c r="M878">
        <v>0</v>
      </c>
      <c r="N878" s="5">
        <v>0</v>
      </c>
      <c r="O878">
        <v>0</v>
      </c>
    </row>
    <row r="879" spans="1:15" hidden="1" x14ac:dyDescent="0.25">
      <c r="A879" s="2" t="s">
        <v>5450</v>
      </c>
      <c r="B879" s="3">
        <v>44411</v>
      </c>
      <c r="C879" s="2" t="s">
        <v>5451</v>
      </c>
      <c r="D879" t="s">
        <v>6161</v>
      </c>
      <c r="E879" s="2">
        <v>3</v>
      </c>
      <c r="F879" s="2" t="s">
        <v>5452</v>
      </c>
      <c r="G879" s="4" t="s">
        <v>5453</v>
      </c>
      <c r="H879" s="2" t="s">
        <v>19</v>
      </c>
      <c r="I879" s="2" t="s">
        <v>199</v>
      </c>
      <c r="J879">
        <v>0</v>
      </c>
      <c r="K879">
        <v>0</v>
      </c>
      <c r="L879">
        <v>0</v>
      </c>
      <c r="M879">
        <v>0</v>
      </c>
      <c r="N879" s="5">
        <v>0</v>
      </c>
      <c r="O879">
        <v>0</v>
      </c>
    </row>
    <row r="880" spans="1:15" hidden="1" x14ac:dyDescent="0.25">
      <c r="A880" s="2" t="s">
        <v>5456</v>
      </c>
      <c r="B880" s="3">
        <v>44323</v>
      </c>
      <c r="C880" s="2" t="s">
        <v>5457</v>
      </c>
      <c r="D880" t="s">
        <v>6142</v>
      </c>
      <c r="E880" s="2">
        <v>1</v>
      </c>
      <c r="F880" s="2" t="s">
        <v>5458</v>
      </c>
      <c r="G880" s="4">
        <v>0</v>
      </c>
      <c r="H880" s="2" t="s">
        <v>19</v>
      </c>
      <c r="I880" s="2" t="s">
        <v>105</v>
      </c>
      <c r="J880">
        <v>0</v>
      </c>
      <c r="K880">
        <v>0</v>
      </c>
      <c r="L880">
        <v>0</v>
      </c>
      <c r="M880">
        <v>0</v>
      </c>
      <c r="N880" s="5">
        <v>0</v>
      </c>
      <c r="O880">
        <v>0</v>
      </c>
    </row>
    <row r="881" spans="1:15" hidden="1" x14ac:dyDescent="0.25">
      <c r="A881" s="2" t="s">
        <v>5461</v>
      </c>
      <c r="B881" s="3">
        <v>43630</v>
      </c>
      <c r="C881" s="2" t="s">
        <v>5462</v>
      </c>
      <c r="D881" t="s">
        <v>6153</v>
      </c>
      <c r="E881" s="2">
        <v>3</v>
      </c>
      <c r="F881" s="2" t="s">
        <v>5463</v>
      </c>
      <c r="G881" s="4">
        <v>0</v>
      </c>
      <c r="H881" s="2" t="s">
        <v>19</v>
      </c>
      <c r="I881" s="2" t="s">
        <v>157</v>
      </c>
      <c r="J881">
        <v>0</v>
      </c>
      <c r="K881">
        <v>0</v>
      </c>
      <c r="L881">
        <v>0</v>
      </c>
      <c r="M881">
        <v>0</v>
      </c>
      <c r="N881" s="5">
        <v>0</v>
      </c>
      <c r="O881">
        <v>0</v>
      </c>
    </row>
    <row r="882" spans="1:15" hidden="1" x14ac:dyDescent="0.25">
      <c r="A882" s="2" t="s">
        <v>5466</v>
      </c>
      <c r="B882" s="3">
        <v>43790</v>
      </c>
      <c r="C882" s="2" t="s">
        <v>5467</v>
      </c>
      <c r="D882" t="s">
        <v>6178</v>
      </c>
      <c r="E882" s="2">
        <v>2</v>
      </c>
      <c r="F882" s="2" t="s">
        <v>5468</v>
      </c>
      <c r="G882" s="4" t="s">
        <v>5469</v>
      </c>
      <c r="H882" s="2" t="s">
        <v>19</v>
      </c>
      <c r="I882" s="2" t="s">
        <v>156</v>
      </c>
      <c r="J882">
        <v>0</v>
      </c>
      <c r="K882">
        <v>0</v>
      </c>
      <c r="L882">
        <v>0</v>
      </c>
      <c r="M882">
        <v>0</v>
      </c>
      <c r="N882" s="5">
        <v>0</v>
      </c>
      <c r="O882">
        <v>0</v>
      </c>
    </row>
    <row r="883" spans="1:15" hidden="1" x14ac:dyDescent="0.25">
      <c r="A883" s="2" t="s">
        <v>5472</v>
      </c>
      <c r="B883" s="3">
        <v>44286</v>
      </c>
      <c r="C883" s="2" t="s">
        <v>5473</v>
      </c>
      <c r="D883" t="s">
        <v>6167</v>
      </c>
      <c r="E883" s="2">
        <v>6</v>
      </c>
      <c r="F883" s="2" t="s">
        <v>5474</v>
      </c>
      <c r="G883" s="4">
        <v>0</v>
      </c>
      <c r="H883" s="2" t="s">
        <v>19</v>
      </c>
      <c r="I883" s="2" t="s">
        <v>252</v>
      </c>
      <c r="J883">
        <v>0</v>
      </c>
      <c r="K883">
        <v>0</v>
      </c>
      <c r="L883">
        <v>0</v>
      </c>
      <c r="M883">
        <v>0</v>
      </c>
      <c r="N883" s="5">
        <v>0</v>
      </c>
      <c r="O883">
        <v>0</v>
      </c>
    </row>
    <row r="884" spans="1:15" hidden="1" x14ac:dyDescent="0.25">
      <c r="A884" s="2" t="s">
        <v>5477</v>
      </c>
      <c r="B884" s="3">
        <v>43647</v>
      </c>
      <c r="C884" s="2" t="s">
        <v>5526</v>
      </c>
      <c r="D884" t="s">
        <v>6168</v>
      </c>
      <c r="E884" s="2">
        <v>5</v>
      </c>
      <c r="F884" s="2" t="s">
        <v>5479</v>
      </c>
      <c r="G884" s="4" t="s">
        <v>5480</v>
      </c>
      <c r="H884" s="2" t="s">
        <v>19</v>
      </c>
      <c r="I884" s="2" t="s">
        <v>84</v>
      </c>
      <c r="J884">
        <v>0</v>
      </c>
      <c r="K884">
        <v>0</v>
      </c>
      <c r="L884">
        <v>0</v>
      </c>
      <c r="M884">
        <v>0</v>
      </c>
      <c r="N884" s="5">
        <v>0</v>
      </c>
      <c r="O884">
        <v>0</v>
      </c>
    </row>
    <row r="885" spans="1:15" hidden="1" x14ac:dyDescent="0.25">
      <c r="A885" s="2" t="s">
        <v>5483</v>
      </c>
      <c r="B885" s="3">
        <v>43956</v>
      </c>
      <c r="C885" s="2" t="s">
        <v>5484</v>
      </c>
      <c r="D885" t="s">
        <v>6175</v>
      </c>
      <c r="E885" s="2">
        <v>3</v>
      </c>
      <c r="F885" s="2" t="s">
        <v>5485</v>
      </c>
      <c r="G885" s="4" t="s">
        <v>5486</v>
      </c>
      <c r="H885" s="2" t="s">
        <v>19</v>
      </c>
      <c r="I885" s="2" t="s">
        <v>90</v>
      </c>
      <c r="J885">
        <v>0</v>
      </c>
      <c r="K885">
        <v>0</v>
      </c>
      <c r="L885">
        <v>0</v>
      </c>
      <c r="M885">
        <v>0</v>
      </c>
      <c r="N885" s="5">
        <v>0</v>
      </c>
      <c r="O885">
        <v>0</v>
      </c>
    </row>
    <row r="886" spans="1:15" hidden="1" x14ac:dyDescent="0.25">
      <c r="A886" s="2" t="s">
        <v>5489</v>
      </c>
      <c r="B886" s="3">
        <v>43941</v>
      </c>
      <c r="C886" s="2" t="s">
        <v>5490</v>
      </c>
      <c r="D886" t="s">
        <v>6172</v>
      </c>
      <c r="E886" s="2">
        <v>1</v>
      </c>
      <c r="F886" s="2" t="s">
        <v>5491</v>
      </c>
      <c r="G886" s="4" t="s">
        <v>5492</v>
      </c>
      <c r="H886" s="2" t="s">
        <v>19</v>
      </c>
      <c r="I886" s="2" t="s">
        <v>30</v>
      </c>
      <c r="J886">
        <v>0</v>
      </c>
      <c r="K886">
        <v>0</v>
      </c>
      <c r="L886">
        <v>0</v>
      </c>
      <c r="M886">
        <v>0</v>
      </c>
      <c r="N886" s="5">
        <v>0</v>
      </c>
      <c r="O886">
        <v>0</v>
      </c>
    </row>
    <row r="887" spans="1:15" hidden="1" x14ac:dyDescent="0.25">
      <c r="A887" s="2" t="s">
        <v>5495</v>
      </c>
      <c r="B887" s="3">
        <v>43664</v>
      </c>
      <c r="C887" s="2" t="s">
        <v>5496</v>
      </c>
      <c r="D887" t="s">
        <v>6149</v>
      </c>
      <c r="E887" s="2">
        <v>6</v>
      </c>
      <c r="F887" s="2" t="s">
        <v>5497</v>
      </c>
      <c r="G887" s="4" t="s">
        <v>5498</v>
      </c>
      <c r="H887" s="2" t="s">
        <v>318</v>
      </c>
      <c r="I887" s="2" t="s">
        <v>464</v>
      </c>
      <c r="J887">
        <v>0</v>
      </c>
      <c r="K887">
        <v>0</v>
      </c>
      <c r="L887">
        <v>0</v>
      </c>
      <c r="M887">
        <v>0</v>
      </c>
      <c r="N887" s="5">
        <v>0</v>
      </c>
      <c r="O887">
        <v>0</v>
      </c>
    </row>
    <row r="888" spans="1:15" hidden="1" x14ac:dyDescent="0.25">
      <c r="A888" s="2" t="s">
        <v>5501</v>
      </c>
      <c r="B888" s="3">
        <v>44518</v>
      </c>
      <c r="C888" s="2" t="s">
        <v>5502</v>
      </c>
      <c r="D888" t="s">
        <v>6160</v>
      </c>
      <c r="E888" s="2">
        <v>2</v>
      </c>
      <c r="F888" s="2" t="s">
        <v>5503</v>
      </c>
      <c r="G888" s="4" t="s">
        <v>5504</v>
      </c>
      <c r="H888" s="2" t="s">
        <v>19</v>
      </c>
      <c r="I888" s="2" t="s">
        <v>150</v>
      </c>
      <c r="J888">
        <v>0</v>
      </c>
      <c r="K888">
        <v>0</v>
      </c>
      <c r="L888">
        <v>0</v>
      </c>
      <c r="M888">
        <v>0</v>
      </c>
      <c r="N888" s="5">
        <v>0</v>
      </c>
      <c r="O888">
        <v>0</v>
      </c>
    </row>
    <row r="889" spans="1:15" hidden="1" x14ac:dyDescent="0.25">
      <c r="A889" s="2" t="s">
        <v>5507</v>
      </c>
      <c r="B889" s="3">
        <v>44002</v>
      </c>
      <c r="C889" s="2" t="s">
        <v>5508</v>
      </c>
      <c r="D889" t="s">
        <v>6184</v>
      </c>
      <c r="E889" s="2">
        <v>3</v>
      </c>
      <c r="F889" s="2" t="s">
        <v>5509</v>
      </c>
      <c r="G889" s="4" t="s">
        <v>5510</v>
      </c>
      <c r="H889" s="2" t="s">
        <v>19</v>
      </c>
      <c r="I889" s="2" t="s">
        <v>119</v>
      </c>
      <c r="J889">
        <v>0</v>
      </c>
      <c r="K889">
        <v>0</v>
      </c>
      <c r="L889">
        <v>0</v>
      </c>
      <c r="M889">
        <v>0</v>
      </c>
      <c r="N889" s="5">
        <v>0</v>
      </c>
      <c r="O889">
        <v>0</v>
      </c>
    </row>
    <row r="890" spans="1:15" hidden="1" x14ac:dyDescent="0.25">
      <c r="A890" s="2" t="s">
        <v>5513</v>
      </c>
      <c r="B890" s="3">
        <v>44292</v>
      </c>
      <c r="C890" s="2" t="s">
        <v>5514</v>
      </c>
      <c r="D890" t="s">
        <v>6167</v>
      </c>
      <c r="E890" s="2">
        <v>2</v>
      </c>
      <c r="F890" s="2" t="s">
        <v>5515</v>
      </c>
      <c r="G890" s="4" t="s">
        <v>5516</v>
      </c>
      <c r="H890" s="2" t="s">
        <v>19</v>
      </c>
      <c r="I890" s="2" t="s">
        <v>150</v>
      </c>
      <c r="J890">
        <v>0</v>
      </c>
      <c r="K890">
        <v>0</v>
      </c>
      <c r="L890">
        <v>0</v>
      </c>
      <c r="M890">
        <v>0</v>
      </c>
      <c r="N890" s="5">
        <v>0</v>
      </c>
      <c r="O890">
        <v>0</v>
      </c>
    </row>
    <row r="891" spans="1:15" hidden="1" x14ac:dyDescent="0.25">
      <c r="A891" s="2" t="s">
        <v>5519</v>
      </c>
      <c r="B891" s="3">
        <v>43633</v>
      </c>
      <c r="C891" s="2" t="s">
        <v>5520</v>
      </c>
      <c r="D891" t="s">
        <v>6163</v>
      </c>
      <c r="E891" s="2">
        <v>1</v>
      </c>
      <c r="F891" s="2" t="s">
        <v>5521</v>
      </c>
      <c r="G891" s="4" t="s">
        <v>5522</v>
      </c>
      <c r="H891" s="2" t="s">
        <v>19</v>
      </c>
      <c r="I891" s="2" t="s">
        <v>132</v>
      </c>
      <c r="J891">
        <v>0</v>
      </c>
      <c r="K891">
        <v>0</v>
      </c>
      <c r="L891">
        <v>0</v>
      </c>
      <c r="M891">
        <v>0</v>
      </c>
      <c r="N891" s="5">
        <v>0</v>
      </c>
      <c r="O891">
        <v>0</v>
      </c>
    </row>
    <row r="892" spans="1:15" hidden="1" x14ac:dyDescent="0.25">
      <c r="A892" s="2" t="s">
        <v>5525</v>
      </c>
      <c r="B892" s="3">
        <v>44646</v>
      </c>
      <c r="C892" s="2" t="s">
        <v>5526</v>
      </c>
      <c r="D892" t="s">
        <v>6149</v>
      </c>
      <c r="E892" s="2">
        <v>1</v>
      </c>
      <c r="F892" s="2" t="s">
        <v>5527</v>
      </c>
      <c r="G892" s="4" t="s">
        <v>5528</v>
      </c>
      <c r="H892" s="2" t="s">
        <v>19</v>
      </c>
      <c r="I892" s="2" t="s">
        <v>42</v>
      </c>
      <c r="J892">
        <v>0</v>
      </c>
      <c r="K892">
        <v>0</v>
      </c>
      <c r="L892">
        <v>0</v>
      </c>
      <c r="M892">
        <v>0</v>
      </c>
      <c r="N892" s="5">
        <v>0</v>
      </c>
      <c r="O892">
        <v>0</v>
      </c>
    </row>
    <row r="893" spans="1:15" hidden="1" x14ac:dyDescent="0.25">
      <c r="A893" s="2" t="s">
        <v>5531</v>
      </c>
      <c r="B893" s="3">
        <v>44469</v>
      </c>
      <c r="C893" s="2" t="s">
        <v>5532</v>
      </c>
      <c r="D893" t="s">
        <v>6168</v>
      </c>
      <c r="E893" s="2">
        <v>5</v>
      </c>
      <c r="F893" s="2" t="s">
        <v>5533</v>
      </c>
      <c r="G893" s="4" t="s">
        <v>5534</v>
      </c>
      <c r="H893" s="2" t="s">
        <v>19</v>
      </c>
      <c r="I893" s="2" t="s">
        <v>58</v>
      </c>
      <c r="J893">
        <v>0</v>
      </c>
      <c r="K893">
        <v>0</v>
      </c>
      <c r="L893">
        <v>0</v>
      </c>
      <c r="M893">
        <v>0</v>
      </c>
      <c r="N893" s="5">
        <v>0</v>
      </c>
      <c r="O893">
        <v>0</v>
      </c>
    </row>
    <row r="894" spans="1:15" hidden="1" x14ac:dyDescent="0.25">
      <c r="A894" s="2" t="s">
        <v>5537</v>
      </c>
      <c r="B894" s="3">
        <v>43635</v>
      </c>
      <c r="C894" s="2" t="s">
        <v>5538</v>
      </c>
      <c r="D894" t="s">
        <v>6156</v>
      </c>
      <c r="E894" s="2">
        <v>5</v>
      </c>
      <c r="F894" s="2" t="s">
        <v>5539</v>
      </c>
      <c r="G894" s="4" t="s">
        <v>5540</v>
      </c>
      <c r="H894" s="2" t="s">
        <v>28</v>
      </c>
      <c r="I894" s="2" t="s">
        <v>305</v>
      </c>
      <c r="J894">
        <v>0</v>
      </c>
      <c r="K894">
        <v>0</v>
      </c>
      <c r="L894">
        <v>0</v>
      </c>
      <c r="M894">
        <v>0</v>
      </c>
      <c r="N894" s="5">
        <v>0</v>
      </c>
      <c r="O894">
        <v>0</v>
      </c>
    </row>
    <row r="895" spans="1:15" hidden="1" x14ac:dyDescent="0.25">
      <c r="A895" s="2" t="s">
        <v>5543</v>
      </c>
      <c r="B895" s="3">
        <v>44651</v>
      </c>
      <c r="C895" s="2" t="s">
        <v>5544</v>
      </c>
      <c r="D895" t="s">
        <v>6161</v>
      </c>
      <c r="E895" s="2">
        <v>6</v>
      </c>
      <c r="F895" s="2" t="s">
        <v>5545</v>
      </c>
      <c r="G895" s="4" t="s">
        <v>5546</v>
      </c>
      <c r="H895" s="2" t="s">
        <v>19</v>
      </c>
      <c r="I895" s="2" t="s">
        <v>108</v>
      </c>
      <c r="J895">
        <v>0</v>
      </c>
      <c r="K895">
        <v>0</v>
      </c>
      <c r="L895">
        <v>0</v>
      </c>
      <c r="M895">
        <v>0</v>
      </c>
      <c r="N895" s="5">
        <v>0</v>
      </c>
      <c r="O895">
        <v>0</v>
      </c>
    </row>
    <row r="896" spans="1:15" hidden="1" x14ac:dyDescent="0.25">
      <c r="A896" s="2" t="s">
        <v>5548</v>
      </c>
      <c r="B896" s="3">
        <v>44016</v>
      </c>
      <c r="C896" s="2" t="s">
        <v>5549</v>
      </c>
      <c r="D896" t="s">
        <v>6149</v>
      </c>
      <c r="E896" s="2">
        <v>4</v>
      </c>
      <c r="F896" s="2" t="s">
        <v>5550</v>
      </c>
      <c r="G896" s="4">
        <v>0</v>
      </c>
      <c r="H896" s="2" t="s">
        <v>318</v>
      </c>
      <c r="I896" s="2" t="s">
        <v>481</v>
      </c>
      <c r="J896">
        <v>0</v>
      </c>
      <c r="K896">
        <v>0</v>
      </c>
      <c r="L896">
        <v>0</v>
      </c>
      <c r="M896">
        <v>0</v>
      </c>
      <c r="N896" s="5">
        <v>0</v>
      </c>
      <c r="O896">
        <v>0</v>
      </c>
    </row>
    <row r="897" spans="1:15" hidden="1" x14ac:dyDescent="0.25">
      <c r="A897" s="2" t="s">
        <v>5553</v>
      </c>
      <c r="B897" s="3">
        <v>44521</v>
      </c>
      <c r="C897" s="2" t="s">
        <v>5554</v>
      </c>
      <c r="D897" t="s">
        <v>6166</v>
      </c>
      <c r="E897" s="2">
        <v>5</v>
      </c>
      <c r="F897" s="2" t="s">
        <v>5555</v>
      </c>
      <c r="G897" s="4">
        <v>0</v>
      </c>
      <c r="H897" s="2" t="s">
        <v>19</v>
      </c>
      <c r="I897" s="2" t="s">
        <v>57</v>
      </c>
      <c r="J897">
        <v>0</v>
      </c>
      <c r="K897">
        <v>0</v>
      </c>
      <c r="L897">
        <v>0</v>
      </c>
      <c r="M897">
        <v>0</v>
      </c>
      <c r="N897" s="5">
        <v>0</v>
      </c>
      <c r="O897">
        <v>0</v>
      </c>
    </row>
    <row r="898" spans="1:15" hidden="1" x14ac:dyDescent="0.25">
      <c r="A898" s="2" t="s">
        <v>5558</v>
      </c>
      <c r="B898" s="3">
        <v>44347</v>
      </c>
      <c r="C898" s="2" t="s">
        <v>5559</v>
      </c>
      <c r="D898" t="s">
        <v>6172</v>
      </c>
      <c r="E898" s="2">
        <v>6</v>
      </c>
      <c r="F898" s="2" t="s">
        <v>5560</v>
      </c>
      <c r="G898" s="4" t="s">
        <v>5561</v>
      </c>
      <c r="H898" s="2" t="s">
        <v>19</v>
      </c>
      <c r="I898" s="2" t="s">
        <v>105</v>
      </c>
      <c r="J898">
        <v>0</v>
      </c>
      <c r="K898">
        <v>0</v>
      </c>
      <c r="L898">
        <v>0</v>
      </c>
      <c r="M898">
        <v>0</v>
      </c>
      <c r="N898" s="5">
        <v>0</v>
      </c>
      <c r="O898">
        <v>0</v>
      </c>
    </row>
    <row r="899" spans="1:15" hidden="1" x14ac:dyDescent="0.25">
      <c r="A899" s="2" t="s">
        <v>5564</v>
      </c>
      <c r="B899" s="3">
        <v>43932</v>
      </c>
      <c r="C899" s="2" t="s">
        <v>5565</v>
      </c>
      <c r="D899" t="s">
        <v>6183</v>
      </c>
      <c r="E899" s="2">
        <v>2</v>
      </c>
      <c r="F899" s="2" t="s">
        <v>5566</v>
      </c>
      <c r="G899" s="4" t="s">
        <v>5567</v>
      </c>
      <c r="H899" s="2" t="s">
        <v>28</v>
      </c>
      <c r="I899" s="2" t="s">
        <v>144</v>
      </c>
      <c r="J899">
        <v>0</v>
      </c>
      <c r="K899">
        <v>0</v>
      </c>
      <c r="L899">
        <v>0</v>
      </c>
      <c r="M899">
        <v>0</v>
      </c>
      <c r="N899" s="5">
        <v>0</v>
      </c>
      <c r="O899">
        <v>0</v>
      </c>
    </row>
    <row r="900" spans="1:15" hidden="1" x14ac:dyDescent="0.25">
      <c r="A900" s="2" t="s">
        <v>5570</v>
      </c>
      <c r="B900" s="3">
        <v>44089</v>
      </c>
      <c r="C900" s="2" t="s">
        <v>5571</v>
      </c>
      <c r="D900" t="s">
        <v>6173</v>
      </c>
      <c r="E900" s="2">
        <v>5</v>
      </c>
      <c r="F900" s="2" t="s">
        <v>5572</v>
      </c>
      <c r="G900" s="4">
        <v>0</v>
      </c>
      <c r="H900" s="2" t="s">
        <v>19</v>
      </c>
      <c r="I900" s="2" t="s">
        <v>276</v>
      </c>
      <c r="J900">
        <v>0</v>
      </c>
      <c r="K900">
        <v>0</v>
      </c>
      <c r="L900">
        <v>0</v>
      </c>
      <c r="M900">
        <v>0</v>
      </c>
      <c r="N900" s="5">
        <v>0</v>
      </c>
      <c r="O900">
        <v>0</v>
      </c>
    </row>
    <row r="901" spans="1:15" hidden="1" x14ac:dyDescent="0.25">
      <c r="A901" s="2" t="s">
        <v>5575</v>
      </c>
      <c r="B901" s="3">
        <v>44523</v>
      </c>
      <c r="C901" s="2" t="s">
        <v>5554</v>
      </c>
      <c r="D901" t="s">
        <v>6162</v>
      </c>
      <c r="E901" s="2">
        <v>5</v>
      </c>
      <c r="F901" s="2" t="s">
        <v>5577</v>
      </c>
      <c r="G901" s="4" t="s">
        <v>5578</v>
      </c>
      <c r="H901" s="2" t="s">
        <v>318</v>
      </c>
      <c r="I901" s="2" t="s">
        <v>437</v>
      </c>
      <c r="J901">
        <v>0</v>
      </c>
      <c r="K901">
        <v>0</v>
      </c>
      <c r="L901">
        <v>0</v>
      </c>
      <c r="M901">
        <v>0</v>
      </c>
      <c r="N901" s="5">
        <v>0</v>
      </c>
      <c r="O901">
        <v>0</v>
      </c>
    </row>
    <row r="902" spans="1:15" hidden="1" x14ac:dyDescent="0.25">
      <c r="A902" s="2" t="s">
        <v>5580</v>
      </c>
      <c r="B902" s="3">
        <v>44584</v>
      </c>
      <c r="C902" s="2" t="s">
        <v>5581</v>
      </c>
      <c r="D902" t="s">
        <v>6170</v>
      </c>
      <c r="E902" s="2">
        <v>3</v>
      </c>
      <c r="F902" s="2" t="s">
        <v>5582</v>
      </c>
      <c r="G902" s="4">
        <v>0</v>
      </c>
      <c r="H902" s="2" t="s">
        <v>318</v>
      </c>
      <c r="I902" s="2" t="s">
        <v>409</v>
      </c>
      <c r="J902">
        <v>0</v>
      </c>
      <c r="K902">
        <v>0</v>
      </c>
      <c r="L902">
        <v>0</v>
      </c>
      <c r="M902">
        <v>0</v>
      </c>
      <c r="N902" s="5">
        <v>0</v>
      </c>
      <c r="O902">
        <v>0</v>
      </c>
    </row>
    <row r="903" spans="1:15" hidden="1" x14ac:dyDescent="0.25">
      <c r="A903" s="2" t="s">
        <v>5585</v>
      </c>
      <c r="B903" s="3">
        <v>44223</v>
      </c>
      <c r="C903" s="2" t="s">
        <v>5586</v>
      </c>
      <c r="D903" t="s">
        <v>6178</v>
      </c>
      <c r="E903" s="2">
        <v>1</v>
      </c>
      <c r="F903" s="2" t="s">
        <v>5587</v>
      </c>
      <c r="G903" s="4" t="s">
        <v>5588</v>
      </c>
      <c r="H903" s="2" t="s">
        <v>19</v>
      </c>
      <c r="I903" s="2" t="s">
        <v>63</v>
      </c>
      <c r="J903">
        <v>0</v>
      </c>
      <c r="K903">
        <v>0</v>
      </c>
      <c r="L903">
        <v>0</v>
      </c>
      <c r="M903">
        <v>0</v>
      </c>
      <c r="N903" s="5">
        <v>0</v>
      </c>
      <c r="O903">
        <v>0</v>
      </c>
    </row>
    <row r="904" spans="1:15" hidden="1" x14ac:dyDescent="0.25">
      <c r="A904" s="2" t="s">
        <v>5591</v>
      </c>
      <c r="B904" s="3">
        <v>43640</v>
      </c>
      <c r="C904" s="2" t="s">
        <v>5592</v>
      </c>
      <c r="D904" t="s">
        <v>6166</v>
      </c>
      <c r="E904" s="2">
        <v>5</v>
      </c>
      <c r="F904" s="2" t="s">
        <v>5593</v>
      </c>
      <c r="G904" s="4" t="s">
        <v>5594</v>
      </c>
      <c r="H904" s="2" t="s">
        <v>19</v>
      </c>
      <c r="I904" s="2" t="s">
        <v>51</v>
      </c>
      <c r="J904">
        <v>0</v>
      </c>
      <c r="K904">
        <v>0</v>
      </c>
      <c r="L904">
        <v>0</v>
      </c>
      <c r="M904">
        <v>0</v>
      </c>
      <c r="N904" s="5">
        <v>0</v>
      </c>
      <c r="O904">
        <v>0</v>
      </c>
    </row>
    <row r="905" spans="1:15" hidden="1" x14ac:dyDescent="0.25">
      <c r="A905" s="2" t="s">
        <v>5597</v>
      </c>
      <c r="B905" s="3">
        <v>43905</v>
      </c>
      <c r="C905" s="2" t="s">
        <v>5598</v>
      </c>
      <c r="D905" t="s">
        <v>6160</v>
      </c>
      <c r="E905" s="2">
        <v>2</v>
      </c>
      <c r="F905" s="2" t="s">
        <v>5599</v>
      </c>
      <c r="G905" s="4" t="s">
        <v>5600</v>
      </c>
      <c r="H905" s="2" t="s">
        <v>19</v>
      </c>
      <c r="I905" s="2" t="s">
        <v>30</v>
      </c>
      <c r="J905">
        <v>0</v>
      </c>
      <c r="K905">
        <v>0</v>
      </c>
      <c r="L905">
        <v>0</v>
      </c>
      <c r="M905">
        <v>0</v>
      </c>
      <c r="N905" s="5">
        <v>0</v>
      </c>
      <c r="O905">
        <v>0</v>
      </c>
    </row>
    <row r="906" spans="1:15" hidden="1" x14ac:dyDescent="0.25">
      <c r="A906" s="2" t="s">
        <v>5603</v>
      </c>
      <c r="B906" s="3">
        <v>44463</v>
      </c>
      <c r="C906" s="2" t="s">
        <v>5604</v>
      </c>
      <c r="D906" t="s">
        <v>6182</v>
      </c>
      <c r="E906" s="2">
        <v>5</v>
      </c>
      <c r="F906" s="2" t="s">
        <v>5605</v>
      </c>
      <c r="G906" s="4" t="s">
        <v>5606</v>
      </c>
      <c r="H906" s="2" t="s">
        <v>19</v>
      </c>
      <c r="I906" s="2" t="s">
        <v>173</v>
      </c>
      <c r="J906">
        <v>0</v>
      </c>
      <c r="K906">
        <v>0</v>
      </c>
      <c r="L906">
        <v>0</v>
      </c>
      <c r="M906">
        <v>0</v>
      </c>
      <c r="N906" s="5">
        <v>0</v>
      </c>
      <c r="O906">
        <v>0</v>
      </c>
    </row>
    <row r="907" spans="1:15" hidden="1" x14ac:dyDescent="0.25">
      <c r="A907" s="2" t="s">
        <v>5609</v>
      </c>
      <c r="B907" s="3">
        <v>43560</v>
      </c>
      <c r="C907" s="2" t="s">
        <v>5610</v>
      </c>
      <c r="D907" t="s">
        <v>6157</v>
      </c>
      <c r="E907" s="2">
        <v>6</v>
      </c>
      <c r="F907" s="2" t="s">
        <v>5611</v>
      </c>
      <c r="G907" s="4">
        <v>0</v>
      </c>
      <c r="H907" s="2" t="s">
        <v>19</v>
      </c>
      <c r="I907" s="2" t="s">
        <v>50</v>
      </c>
      <c r="J907">
        <v>0</v>
      </c>
      <c r="K907">
        <v>0</v>
      </c>
      <c r="L907">
        <v>0</v>
      </c>
      <c r="M907">
        <v>0</v>
      </c>
      <c r="N907" s="5">
        <v>0</v>
      </c>
      <c r="O907">
        <v>0</v>
      </c>
    </row>
    <row r="908" spans="1:15" hidden="1" x14ac:dyDescent="0.25">
      <c r="A908" s="2" t="s">
        <v>5614</v>
      </c>
      <c r="B908" s="3">
        <v>44588</v>
      </c>
      <c r="C908" s="2" t="s">
        <v>5615</v>
      </c>
      <c r="D908" t="s">
        <v>6157</v>
      </c>
      <c r="E908" s="2">
        <v>4</v>
      </c>
      <c r="F908" s="2" t="s">
        <v>5616</v>
      </c>
      <c r="G908" s="4" t="s">
        <v>5617</v>
      </c>
      <c r="H908" s="2" t="s">
        <v>19</v>
      </c>
      <c r="I908" s="2" t="s">
        <v>169</v>
      </c>
      <c r="J908">
        <v>0</v>
      </c>
      <c r="K908">
        <v>0</v>
      </c>
      <c r="L908">
        <v>0</v>
      </c>
      <c r="M908">
        <v>0</v>
      </c>
      <c r="N908" s="5">
        <v>0</v>
      </c>
      <c r="O908">
        <v>0</v>
      </c>
    </row>
    <row r="909" spans="1:15" hidden="1" x14ac:dyDescent="0.25">
      <c r="A909" s="2" t="s">
        <v>5620</v>
      </c>
      <c r="B909" s="3">
        <v>44449</v>
      </c>
      <c r="C909" s="2" t="s">
        <v>5621</v>
      </c>
      <c r="D909" t="s">
        <v>6143</v>
      </c>
      <c r="E909" s="2">
        <v>3</v>
      </c>
      <c r="F909" s="2" t="s">
        <v>5622</v>
      </c>
      <c r="G909" s="4" t="s">
        <v>5623</v>
      </c>
      <c r="H909" s="2" t="s">
        <v>19</v>
      </c>
      <c r="I909" s="2" t="s">
        <v>189</v>
      </c>
      <c r="J909">
        <v>0</v>
      </c>
      <c r="K909">
        <v>0</v>
      </c>
      <c r="L909">
        <v>0</v>
      </c>
      <c r="M909">
        <v>0</v>
      </c>
      <c r="N909" s="5">
        <v>0</v>
      </c>
      <c r="O909">
        <v>0</v>
      </c>
    </row>
    <row r="910" spans="1:15" hidden="1" x14ac:dyDescent="0.25">
      <c r="A910" s="2" t="s">
        <v>5626</v>
      </c>
      <c r="B910" s="3">
        <v>43836</v>
      </c>
      <c r="C910" s="2" t="s">
        <v>5627</v>
      </c>
      <c r="D910" t="s">
        <v>6179</v>
      </c>
      <c r="E910" s="2">
        <v>5</v>
      </c>
      <c r="F910" s="2" t="s">
        <v>5628</v>
      </c>
      <c r="G910" s="4" t="s">
        <v>5629</v>
      </c>
      <c r="H910" s="2" t="s">
        <v>19</v>
      </c>
      <c r="I910" s="2" t="s">
        <v>63</v>
      </c>
      <c r="J910">
        <v>0</v>
      </c>
      <c r="K910">
        <v>0</v>
      </c>
      <c r="L910">
        <v>0</v>
      </c>
      <c r="M910">
        <v>0</v>
      </c>
      <c r="N910" s="5">
        <v>0</v>
      </c>
      <c r="O910">
        <v>0</v>
      </c>
    </row>
    <row r="911" spans="1:15" hidden="1" x14ac:dyDescent="0.25">
      <c r="A911" s="2" t="s">
        <v>5632</v>
      </c>
      <c r="B911" s="3">
        <v>44635</v>
      </c>
      <c r="C911" s="2" t="s">
        <v>5633</v>
      </c>
      <c r="D911" t="s">
        <v>6178</v>
      </c>
      <c r="E911" s="2">
        <v>3</v>
      </c>
      <c r="F911" s="2" t="s">
        <v>5634</v>
      </c>
      <c r="G911" s="4">
        <v>0</v>
      </c>
      <c r="H911" s="2" t="s">
        <v>19</v>
      </c>
      <c r="I911" s="2" t="s">
        <v>31</v>
      </c>
      <c r="J911">
        <v>0</v>
      </c>
      <c r="K911">
        <v>0</v>
      </c>
      <c r="L911">
        <v>0</v>
      </c>
      <c r="M911">
        <v>0</v>
      </c>
      <c r="N911" s="5">
        <v>0</v>
      </c>
      <c r="O911">
        <v>0</v>
      </c>
    </row>
    <row r="912" spans="1:15" hidden="1" x14ac:dyDescent="0.25">
      <c r="A912" s="2" t="s">
        <v>5637</v>
      </c>
      <c r="B912" s="3">
        <v>44447</v>
      </c>
      <c r="C912" s="2" t="s">
        <v>5638</v>
      </c>
      <c r="D912" t="s">
        <v>6168</v>
      </c>
      <c r="E912" s="2">
        <v>4</v>
      </c>
      <c r="F912" s="2" t="s">
        <v>5639</v>
      </c>
      <c r="G912" s="4" t="s">
        <v>5640</v>
      </c>
      <c r="H912" s="2" t="s">
        <v>19</v>
      </c>
      <c r="I912" s="2" t="s">
        <v>241</v>
      </c>
      <c r="J912">
        <v>0</v>
      </c>
      <c r="K912">
        <v>0</v>
      </c>
      <c r="L912">
        <v>0</v>
      </c>
      <c r="M912">
        <v>0</v>
      </c>
      <c r="N912" s="5">
        <v>0</v>
      </c>
      <c r="O912">
        <v>0</v>
      </c>
    </row>
    <row r="913" spans="1:15" hidden="1" x14ac:dyDescent="0.25">
      <c r="A913" s="2" t="s">
        <v>5643</v>
      </c>
      <c r="B913" s="3">
        <v>44511</v>
      </c>
      <c r="C913" s="2" t="s">
        <v>5644</v>
      </c>
      <c r="D913" t="s">
        <v>6155</v>
      </c>
      <c r="E913" s="2">
        <v>4</v>
      </c>
      <c r="F913" s="2" t="s">
        <v>5645</v>
      </c>
      <c r="G913" s="4" t="s">
        <v>5646</v>
      </c>
      <c r="H913" s="2" t="s">
        <v>19</v>
      </c>
      <c r="I913" s="2" t="s">
        <v>47</v>
      </c>
      <c r="J913">
        <v>0</v>
      </c>
      <c r="K913">
        <v>0</v>
      </c>
      <c r="L913">
        <v>0</v>
      </c>
      <c r="M913">
        <v>0</v>
      </c>
      <c r="N913" s="5">
        <v>0</v>
      </c>
      <c r="O913">
        <v>0</v>
      </c>
    </row>
    <row r="914" spans="1:15" hidden="1" x14ac:dyDescent="0.25">
      <c r="A914" s="2" t="s">
        <v>5649</v>
      </c>
      <c r="B914" s="3">
        <v>43726</v>
      </c>
      <c r="C914" s="2" t="s">
        <v>5650</v>
      </c>
      <c r="D914" t="s">
        <v>6151</v>
      </c>
      <c r="E914" s="2">
        <v>6</v>
      </c>
      <c r="F914" s="2" t="s">
        <v>5651</v>
      </c>
      <c r="G914" s="4">
        <v>0</v>
      </c>
      <c r="H914" s="2" t="s">
        <v>19</v>
      </c>
      <c r="I914" s="2" t="s">
        <v>198</v>
      </c>
      <c r="J914">
        <v>0</v>
      </c>
      <c r="K914">
        <v>0</v>
      </c>
      <c r="L914">
        <v>0</v>
      </c>
      <c r="M914">
        <v>0</v>
      </c>
      <c r="N914" s="5">
        <v>0</v>
      </c>
      <c r="O914">
        <v>0</v>
      </c>
    </row>
    <row r="915" spans="1:15" hidden="1" x14ac:dyDescent="0.25">
      <c r="A915" s="2" t="s">
        <v>5654</v>
      </c>
      <c r="B915" s="3">
        <v>44406</v>
      </c>
      <c r="C915" s="2" t="s">
        <v>5655</v>
      </c>
      <c r="D915" t="s">
        <v>6157</v>
      </c>
      <c r="E915" s="2">
        <v>1</v>
      </c>
      <c r="F915" s="2" t="s">
        <v>5656</v>
      </c>
      <c r="G915" s="4" t="s">
        <v>5657</v>
      </c>
      <c r="H915" s="2" t="s">
        <v>19</v>
      </c>
      <c r="I915" s="2" t="s">
        <v>126</v>
      </c>
      <c r="J915">
        <v>0</v>
      </c>
      <c r="K915">
        <v>0</v>
      </c>
      <c r="L915">
        <v>0</v>
      </c>
      <c r="M915">
        <v>0</v>
      </c>
      <c r="N915" s="5">
        <v>0</v>
      </c>
      <c r="O915">
        <v>0</v>
      </c>
    </row>
    <row r="916" spans="1:15" hidden="1" x14ac:dyDescent="0.25">
      <c r="A916" s="2" t="s">
        <v>5660</v>
      </c>
      <c r="B916" s="3">
        <v>44640</v>
      </c>
      <c r="C916" s="2" t="s">
        <v>5661</v>
      </c>
      <c r="D916" t="s">
        <v>6155</v>
      </c>
      <c r="E916" s="2">
        <v>4</v>
      </c>
      <c r="F916" s="2" t="s">
        <v>5662</v>
      </c>
      <c r="G916" s="4" t="s">
        <v>5663</v>
      </c>
      <c r="H916" s="2" t="s">
        <v>19</v>
      </c>
      <c r="I916" s="2" t="s">
        <v>187</v>
      </c>
      <c r="J916">
        <v>0</v>
      </c>
      <c r="K916">
        <v>0</v>
      </c>
      <c r="L916">
        <v>0</v>
      </c>
      <c r="M916">
        <v>0</v>
      </c>
      <c r="N916" s="5">
        <v>0</v>
      </c>
      <c r="O916">
        <v>0</v>
      </c>
    </row>
    <row r="917" spans="1:15" hidden="1" x14ac:dyDescent="0.25">
      <c r="A917" s="2" t="s">
        <v>5666</v>
      </c>
      <c r="B917" s="3">
        <v>43955</v>
      </c>
      <c r="C917" s="2" t="s">
        <v>5667</v>
      </c>
      <c r="D917" t="s">
        <v>6185</v>
      </c>
      <c r="E917" s="2">
        <v>3</v>
      </c>
      <c r="F917" s="2" t="s">
        <v>5668</v>
      </c>
      <c r="G917" s="4" t="s">
        <v>5669</v>
      </c>
      <c r="H917" s="2" t="s">
        <v>19</v>
      </c>
      <c r="I917" s="2" t="s">
        <v>205</v>
      </c>
      <c r="J917">
        <v>0</v>
      </c>
      <c r="K917">
        <v>0</v>
      </c>
      <c r="L917">
        <v>0</v>
      </c>
      <c r="M917">
        <v>0</v>
      </c>
      <c r="N917" s="5">
        <v>0</v>
      </c>
      <c r="O917">
        <v>0</v>
      </c>
    </row>
    <row r="918" spans="1:15" hidden="1" x14ac:dyDescent="0.25">
      <c r="A918" s="2" t="s">
        <v>5672</v>
      </c>
      <c r="B918" s="3">
        <v>44291</v>
      </c>
      <c r="C918" s="2" t="s">
        <v>5673</v>
      </c>
      <c r="D918" t="s">
        <v>6153</v>
      </c>
      <c r="E918" s="2">
        <v>1</v>
      </c>
      <c r="F918" s="2" t="s">
        <v>5674</v>
      </c>
      <c r="G918" s="4">
        <v>0</v>
      </c>
      <c r="H918" s="2" t="s">
        <v>318</v>
      </c>
      <c r="I918" s="2" t="s">
        <v>2998</v>
      </c>
      <c r="J918">
        <v>0</v>
      </c>
      <c r="K918">
        <v>0</v>
      </c>
      <c r="L918">
        <v>0</v>
      </c>
      <c r="M918">
        <v>0</v>
      </c>
      <c r="N918" s="5">
        <v>0</v>
      </c>
      <c r="O918">
        <v>0</v>
      </c>
    </row>
    <row r="919" spans="1:15" hidden="1" x14ac:dyDescent="0.25">
      <c r="A919" s="2" t="s">
        <v>5676</v>
      </c>
      <c r="B919" s="3">
        <v>44573</v>
      </c>
      <c r="C919" s="2" t="s">
        <v>5677</v>
      </c>
      <c r="D919" t="s">
        <v>6157</v>
      </c>
      <c r="E919" s="2">
        <v>1</v>
      </c>
      <c r="F919" s="2" t="s">
        <v>5678</v>
      </c>
      <c r="G919" s="4" t="s">
        <v>5679</v>
      </c>
      <c r="H919" s="2" t="s">
        <v>28</v>
      </c>
      <c r="I919" s="2" t="s">
        <v>220</v>
      </c>
      <c r="J919">
        <v>0</v>
      </c>
      <c r="K919">
        <v>0</v>
      </c>
      <c r="L919">
        <v>0</v>
      </c>
      <c r="M919">
        <v>0</v>
      </c>
      <c r="N919" s="5">
        <v>0</v>
      </c>
      <c r="O919">
        <v>0</v>
      </c>
    </row>
    <row r="920" spans="1:15" hidden="1" x14ac:dyDescent="0.25">
      <c r="A920" s="2" t="s">
        <v>5676</v>
      </c>
      <c r="B920" s="3">
        <v>44573</v>
      </c>
      <c r="C920" s="2" t="s">
        <v>5677</v>
      </c>
      <c r="D920" t="s">
        <v>6144</v>
      </c>
      <c r="E920" s="2">
        <v>3</v>
      </c>
      <c r="F920" s="2" t="s">
        <v>5683</v>
      </c>
      <c r="G920" s="4" t="s">
        <v>5684</v>
      </c>
      <c r="H920" s="2" t="s">
        <v>19</v>
      </c>
      <c r="I920" s="2" t="s">
        <v>209</v>
      </c>
      <c r="J920">
        <v>0</v>
      </c>
      <c r="K920">
        <v>0</v>
      </c>
      <c r="L920">
        <v>0</v>
      </c>
      <c r="M920">
        <v>0</v>
      </c>
      <c r="N920" s="5">
        <v>0</v>
      </c>
      <c r="O920">
        <v>0</v>
      </c>
    </row>
    <row r="921" spans="1:15" hidden="1" x14ac:dyDescent="0.25">
      <c r="A921" s="2" t="s">
        <v>5687</v>
      </c>
      <c r="B921" s="3">
        <v>44181</v>
      </c>
      <c r="C921" s="2" t="s">
        <v>5688</v>
      </c>
      <c r="D921" t="s">
        <v>6163</v>
      </c>
      <c r="E921" s="2">
        <v>5</v>
      </c>
      <c r="F921" s="2" t="s">
        <v>5689</v>
      </c>
      <c r="G921" s="4" t="s">
        <v>5690</v>
      </c>
      <c r="H921" s="2" t="s">
        <v>19</v>
      </c>
      <c r="I921" s="2" t="s">
        <v>43</v>
      </c>
      <c r="J921">
        <v>0</v>
      </c>
      <c r="K921">
        <v>0</v>
      </c>
      <c r="L921">
        <v>0</v>
      </c>
      <c r="M921">
        <v>0</v>
      </c>
      <c r="N921" s="5">
        <v>0</v>
      </c>
      <c r="O921">
        <v>0</v>
      </c>
    </row>
    <row r="922" spans="1:15" hidden="1" x14ac:dyDescent="0.25">
      <c r="A922" s="2" t="s">
        <v>5693</v>
      </c>
      <c r="B922" s="3">
        <v>44711</v>
      </c>
      <c r="C922" s="2" t="s">
        <v>5694</v>
      </c>
      <c r="D922" t="s">
        <v>6149</v>
      </c>
      <c r="E922" s="2">
        <v>6</v>
      </c>
      <c r="F922" s="2" t="s">
        <v>5695</v>
      </c>
      <c r="G922" s="4" t="s">
        <v>5696</v>
      </c>
      <c r="H922" s="2" t="s">
        <v>19</v>
      </c>
      <c r="I922" s="2" t="s">
        <v>183</v>
      </c>
      <c r="J922">
        <v>0</v>
      </c>
      <c r="K922">
        <v>0</v>
      </c>
      <c r="L922">
        <v>0</v>
      </c>
      <c r="M922">
        <v>0</v>
      </c>
      <c r="N922" s="5">
        <v>0</v>
      </c>
      <c r="O922">
        <v>0</v>
      </c>
    </row>
    <row r="923" spans="1:15" hidden="1" x14ac:dyDescent="0.25">
      <c r="A923" s="2" t="s">
        <v>5699</v>
      </c>
      <c r="B923" s="3">
        <v>44509</v>
      </c>
      <c r="C923" s="2" t="s">
        <v>5700</v>
      </c>
      <c r="D923" t="s">
        <v>6150</v>
      </c>
      <c r="E923" s="2">
        <v>2</v>
      </c>
      <c r="F923" s="2" t="s">
        <v>5701</v>
      </c>
      <c r="G923" s="4" t="s">
        <v>5702</v>
      </c>
      <c r="H923" s="2" t="s">
        <v>19</v>
      </c>
      <c r="I923" s="2" t="s">
        <v>169</v>
      </c>
      <c r="J923">
        <v>0</v>
      </c>
      <c r="K923">
        <v>0</v>
      </c>
      <c r="L923">
        <v>0</v>
      </c>
      <c r="M923">
        <v>0</v>
      </c>
      <c r="N923" s="5">
        <v>0</v>
      </c>
      <c r="O923">
        <v>0</v>
      </c>
    </row>
    <row r="924" spans="1:15" hidden="1" x14ac:dyDescent="0.25">
      <c r="A924" s="2" t="s">
        <v>5705</v>
      </c>
      <c r="B924" s="3">
        <v>44659</v>
      </c>
      <c r="C924" s="2" t="s">
        <v>5706</v>
      </c>
      <c r="D924" t="s">
        <v>6155</v>
      </c>
      <c r="E924" s="2">
        <v>6</v>
      </c>
      <c r="F924" s="2" t="s">
        <v>5707</v>
      </c>
      <c r="G924" s="4">
        <v>0</v>
      </c>
      <c r="H924" s="2" t="s">
        <v>19</v>
      </c>
      <c r="I924" s="2" t="s">
        <v>168</v>
      </c>
      <c r="J924">
        <v>0</v>
      </c>
      <c r="K924">
        <v>0</v>
      </c>
      <c r="L924">
        <v>0</v>
      </c>
      <c r="M924">
        <v>0</v>
      </c>
      <c r="N924" s="5">
        <v>0</v>
      </c>
      <c r="O924">
        <v>0</v>
      </c>
    </row>
    <row r="925" spans="1:15" hidden="1" x14ac:dyDescent="0.25">
      <c r="A925" s="2" t="s">
        <v>5709</v>
      </c>
      <c r="B925" s="3">
        <v>43746</v>
      </c>
      <c r="C925" s="2" t="s">
        <v>5710</v>
      </c>
      <c r="D925" t="s">
        <v>6185</v>
      </c>
      <c r="E925" s="2">
        <v>1</v>
      </c>
      <c r="F925" s="2" t="s">
        <v>5711</v>
      </c>
      <c r="G925" s="4" t="s">
        <v>5712</v>
      </c>
      <c r="H925" s="2" t="s">
        <v>19</v>
      </c>
      <c r="I925" s="2" t="s">
        <v>123</v>
      </c>
      <c r="J925">
        <v>0</v>
      </c>
      <c r="K925">
        <v>0</v>
      </c>
      <c r="L925">
        <v>0</v>
      </c>
      <c r="M925">
        <v>0</v>
      </c>
      <c r="N925" s="5">
        <v>0</v>
      </c>
      <c r="O925">
        <v>0</v>
      </c>
    </row>
    <row r="926" spans="1:15" hidden="1" x14ac:dyDescent="0.25">
      <c r="A926" s="2" t="s">
        <v>5715</v>
      </c>
      <c r="B926" s="3">
        <v>44451</v>
      </c>
      <c r="C926" s="2" t="s">
        <v>5716</v>
      </c>
      <c r="D926" t="s">
        <v>6182</v>
      </c>
      <c r="E926" s="2">
        <v>3</v>
      </c>
      <c r="F926" s="2" t="s">
        <v>5717</v>
      </c>
      <c r="G926" s="4" t="s">
        <v>5718</v>
      </c>
      <c r="H926" s="2" t="s">
        <v>19</v>
      </c>
      <c r="I926" s="2" t="s">
        <v>80</v>
      </c>
      <c r="J926">
        <v>0</v>
      </c>
      <c r="K926">
        <v>0</v>
      </c>
      <c r="L926">
        <v>0</v>
      </c>
      <c r="M926">
        <v>0</v>
      </c>
      <c r="N926" s="5">
        <v>0</v>
      </c>
      <c r="O926">
        <v>0</v>
      </c>
    </row>
    <row r="927" spans="1:15" hidden="1" x14ac:dyDescent="0.25">
      <c r="A927" s="2" t="s">
        <v>5720</v>
      </c>
      <c r="B927" s="3">
        <v>44770</v>
      </c>
      <c r="C927" s="2" t="s">
        <v>5554</v>
      </c>
      <c r="D927" t="s">
        <v>6157</v>
      </c>
      <c r="E927" s="2">
        <v>3</v>
      </c>
      <c r="F927" s="2" t="s">
        <v>5722</v>
      </c>
      <c r="G927" s="4">
        <v>0</v>
      </c>
      <c r="H927" s="2" t="s">
        <v>19</v>
      </c>
      <c r="I927" s="2" t="s">
        <v>87</v>
      </c>
      <c r="J927">
        <v>0</v>
      </c>
      <c r="K927">
        <v>0</v>
      </c>
      <c r="L927">
        <v>0</v>
      </c>
      <c r="M927">
        <v>0</v>
      </c>
      <c r="N927" s="5">
        <v>0</v>
      </c>
      <c r="O927">
        <v>0</v>
      </c>
    </row>
    <row r="928" spans="1:15" hidden="1" x14ac:dyDescent="0.25">
      <c r="A928" s="2" t="s">
        <v>5725</v>
      </c>
      <c r="B928" s="3">
        <v>44012</v>
      </c>
      <c r="C928" s="2" t="s">
        <v>5726</v>
      </c>
      <c r="D928" t="s">
        <v>6157</v>
      </c>
      <c r="E928" s="2">
        <v>5</v>
      </c>
      <c r="F928" s="2" t="s">
        <v>5727</v>
      </c>
      <c r="G928" s="4" t="s">
        <v>5728</v>
      </c>
      <c r="H928" s="2" t="s">
        <v>19</v>
      </c>
      <c r="I928" s="2" t="s">
        <v>47</v>
      </c>
      <c r="J928">
        <v>0</v>
      </c>
      <c r="K928">
        <v>0</v>
      </c>
      <c r="L928">
        <v>0</v>
      </c>
      <c r="M928">
        <v>0</v>
      </c>
      <c r="N928" s="5">
        <v>0</v>
      </c>
      <c r="O928">
        <v>0</v>
      </c>
    </row>
    <row r="929" spans="1:15" hidden="1" x14ac:dyDescent="0.25">
      <c r="A929" s="2" t="s">
        <v>5731</v>
      </c>
      <c r="B929" s="3">
        <v>43474</v>
      </c>
      <c r="C929" s="2" t="s">
        <v>5732</v>
      </c>
      <c r="D929" t="s">
        <v>6185</v>
      </c>
      <c r="E929" s="2">
        <v>4</v>
      </c>
      <c r="F929" s="2" t="s">
        <v>5733</v>
      </c>
      <c r="G929" s="4" t="s">
        <v>5734</v>
      </c>
      <c r="H929" s="2" t="s">
        <v>19</v>
      </c>
      <c r="I929" s="2" t="s">
        <v>189</v>
      </c>
      <c r="J929">
        <v>0</v>
      </c>
      <c r="K929">
        <v>0</v>
      </c>
      <c r="L929">
        <v>0</v>
      </c>
      <c r="M929">
        <v>0</v>
      </c>
      <c r="N929" s="5">
        <v>0</v>
      </c>
      <c r="O929">
        <v>0</v>
      </c>
    </row>
    <row r="930" spans="1:15" hidden="1" x14ac:dyDescent="0.25">
      <c r="A930" s="2" t="s">
        <v>5737</v>
      </c>
      <c r="B930" s="3">
        <v>44754</v>
      </c>
      <c r="C930" s="2" t="s">
        <v>5738</v>
      </c>
      <c r="D930" t="s">
        <v>6166</v>
      </c>
      <c r="E930" s="2">
        <v>2</v>
      </c>
      <c r="F930" s="2" t="s">
        <v>5739</v>
      </c>
      <c r="G930" s="4" t="s">
        <v>5740</v>
      </c>
      <c r="H930" s="2" t="s">
        <v>19</v>
      </c>
      <c r="I930" s="2" t="s">
        <v>57</v>
      </c>
      <c r="J930">
        <v>0</v>
      </c>
      <c r="K930">
        <v>0</v>
      </c>
      <c r="L930">
        <v>0</v>
      </c>
      <c r="M930">
        <v>0</v>
      </c>
      <c r="N930" s="5">
        <v>0</v>
      </c>
      <c r="O930">
        <v>0</v>
      </c>
    </row>
    <row r="931" spans="1:15" hidden="1" x14ac:dyDescent="0.25">
      <c r="A931" s="2" t="s">
        <v>5742</v>
      </c>
      <c r="B931" s="3">
        <v>44165</v>
      </c>
      <c r="C931" s="2" t="s">
        <v>5743</v>
      </c>
      <c r="D931" t="s">
        <v>6184</v>
      </c>
      <c r="E931" s="2">
        <v>2</v>
      </c>
      <c r="F931" s="2" t="s">
        <v>5744</v>
      </c>
      <c r="G931" s="4" t="s">
        <v>5745</v>
      </c>
      <c r="H931" s="2" t="s">
        <v>19</v>
      </c>
      <c r="I931" s="2" t="s">
        <v>47</v>
      </c>
      <c r="J931">
        <v>0</v>
      </c>
      <c r="K931">
        <v>0</v>
      </c>
      <c r="L931">
        <v>0</v>
      </c>
      <c r="M931">
        <v>0</v>
      </c>
      <c r="N931" s="5">
        <v>0</v>
      </c>
      <c r="O931">
        <v>0</v>
      </c>
    </row>
    <row r="932" spans="1:15" hidden="1" x14ac:dyDescent="0.25">
      <c r="A932" s="2" t="s">
        <v>5748</v>
      </c>
      <c r="B932" s="3">
        <v>43546</v>
      </c>
      <c r="C932" s="2" t="s">
        <v>5749</v>
      </c>
      <c r="D932" t="s">
        <v>6183</v>
      </c>
      <c r="E932" s="2">
        <v>1</v>
      </c>
      <c r="F932" s="2" t="s">
        <v>5750</v>
      </c>
      <c r="G932" s="4" t="s">
        <v>5751</v>
      </c>
      <c r="H932" s="2" t="s">
        <v>19</v>
      </c>
      <c r="I932" s="2" t="s">
        <v>47</v>
      </c>
      <c r="J932">
        <v>0</v>
      </c>
      <c r="K932">
        <v>0</v>
      </c>
      <c r="L932">
        <v>0</v>
      </c>
      <c r="M932">
        <v>0</v>
      </c>
      <c r="N932" s="5">
        <v>0</v>
      </c>
      <c r="O932">
        <v>0</v>
      </c>
    </row>
    <row r="933" spans="1:15" hidden="1" x14ac:dyDescent="0.25">
      <c r="A933" s="2" t="s">
        <v>5753</v>
      </c>
      <c r="B933" s="3">
        <v>44607</v>
      </c>
      <c r="C933" s="2" t="s">
        <v>5754</v>
      </c>
      <c r="D933" t="s">
        <v>6158</v>
      </c>
      <c r="E933" s="2">
        <v>4</v>
      </c>
      <c r="F933" s="2" t="s">
        <v>5755</v>
      </c>
      <c r="G933" s="4">
        <v>0</v>
      </c>
      <c r="H933" s="2" t="s">
        <v>19</v>
      </c>
      <c r="I933" s="2" t="s">
        <v>313</v>
      </c>
      <c r="J933">
        <v>0</v>
      </c>
      <c r="K933">
        <v>0</v>
      </c>
      <c r="L933">
        <v>0</v>
      </c>
      <c r="M933">
        <v>0</v>
      </c>
      <c r="N933" s="5">
        <v>0</v>
      </c>
      <c r="O933">
        <v>0</v>
      </c>
    </row>
    <row r="934" spans="1:15" hidden="1" x14ac:dyDescent="0.25">
      <c r="A934" s="2" t="s">
        <v>5757</v>
      </c>
      <c r="B934" s="3">
        <v>44117</v>
      </c>
      <c r="C934" s="2" t="s">
        <v>5758</v>
      </c>
      <c r="D934" t="s">
        <v>6141</v>
      </c>
      <c r="E934" s="2">
        <v>4</v>
      </c>
      <c r="F934" s="2" t="s">
        <v>5759</v>
      </c>
      <c r="G934" s="4" t="s">
        <v>5760</v>
      </c>
      <c r="H934" s="2" t="s">
        <v>19</v>
      </c>
      <c r="I934" s="2" t="s">
        <v>92</v>
      </c>
      <c r="J934">
        <v>0</v>
      </c>
      <c r="K934">
        <v>0</v>
      </c>
      <c r="L934">
        <v>0</v>
      </c>
      <c r="M934">
        <v>0</v>
      </c>
      <c r="N934" s="5">
        <v>0</v>
      </c>
      <c r="O934">
        <v>0</v>
      </c>
    </row>
    <row r="935" spans="1:15" hidden="1" x14ac:dyDescent="0.25">
      <c r="A935" s="2" t="s">
        <v>5763</v>
      </c>
      <c r="B935" s="3">
        <v>44557</v>
      </c>
      <c r="C935" s="2" t="s">
        <v>5764</v>
      </c>
      <c r="D935" t="s">
        <v>6177</v>
      </c>
      <c r="E935" s="2">
        <v>3</v>
      </c>
      <c r="F935" s="2" t="s">
        <v>5765</v>
      </c>
      <c r="G935" s="4">
        <v>0</v>
      </c>
      <c r="H935" s="2" t="s">
        <v>19</v>
      </c>
      <c r="I935" s="2" t="s">
        <v>77</v>
      </c>
      <c r="J935">
        <v>0</v>
      </c>
      <c r="K935">
        <v>0</v>
      </c>
      <c r="L935">
        <v>0</v>
      </c>
      <c r="M935">
        <v>0</v>
      </c>
      <c r="N935" s="5">
        <v>0</v>
      </c>
      <c r="O935">
        <v>0</v>
      </c>
    </row>
    <row r="936" spans="1:15" hidden="1" x14ac:dyDescent="0.25">
      <c r="A936" s="2" t="s">
        <v>5768</v>
      </c>
      <c r="B936" s="3">
        <v>44409</v>
      </c>
      <c r="C936" s="2" t="s">
        <v>5769</v>
      </c>
      <c r="D936" t="s">
        <v>6151</v>
      </c>
      <c r="E936" s="2">
        <v>5</v>
      </c>
      <c r="F936" s="2" t="s">
        <v>5770</v>
      </c>
      <c r="G936" s="4" t="s">
        <v>5771</v>
      </c>
      <c r="H936" s="2" t="s">
        <v>19</v>
      </c>
      <c r="I936" s="2" t="s">
        <v>156</v>
      </c>
      <c r="J936">
        <v>0</v>
      </c>
      <c r="K936">
        <v>0</v>
      </c>
      <c r="L936">
        <v>0</v>
      </c>
      <c r="M936">
        <v>0</v>
      </c>
      <c r="N936" s="5">
        <v>0</v>
      </c>
      <c r="O936">
        <v>0</v>
      </c>
    </row>
    <row r="937" spans="1:15" hidden="1" x14ac:dyDescent="0.25">
      <c r="A937" s="2" t="s">
        <v>5774</v>
      </c>
      <c r="B937" s="3">
        <v>44153</v>
      </c>
      <c r="C937" s="2" t="s">
        <v>5775</v>
      </c>
      <c r="D937" t="s">
        <v>6175</v>
      </c>
      <c r="E937" s="2">
        <v>6</v>
      </c>
      <c r="F937" s="2" t="s">
        <v>5776</v>
      </c>
      <c r="G937" s="4" t="s">
        <v>5777</v>
      </c>
      <c r="H937" s="2" t="s">
        <v>19</v>
      </c>
      <c r="I937" s="2" t="s">
        <v>187</v>
      </c>
      <c r="J937">
        <v>0</v>
      </c>
      <c r="K937">
        <v>0</v>
      </c>
      <c r="L937">
        <v>0</v>
      </c>
      <c r="M937">
        <v>0</v>
      </c>
      <c r="N937" s="5">
        <v>0</v>
      </c>
      <c r="O937">
        <v>0</v>
      </c>
    </row>
    <row r="938" spans="1:15" hidden="1" x14ac:dyDescent="0.25">
      <c r="A938" s="2" t="s">
        <v>5780</v>
      </c>
      <c r="B938" s="3">
        <v>44493</v>
      </c>
      <c r="C938" s="2" t="s">
        <v>5781</v>
      </c>
      <c r="D938" t="s">
        <v>6169</v>
      </c>
      <c r="E938" s="2">
        <v>3</v>
      </c>
      <c r="F938" s="2" t="s">
        <v>5782</v>
      </c>
      <c r="G938" s="4" t="s">
        <v>5783</v>
      </c>
      <c r="H938" s="2" t="s">
        <v>19</v>
      </c>
      <c r="I938" s="2" t="s">
        <v>87</v>
      </c>
      <c r="J938">
        <v>0</v>
      </c>
      <c r="K938">
        <v>0</v>
      </c>
      <c r="L938">
        <v>0</v>
      </c>
      <c r="M938">
        <v>0</v>
      </c>
      <c r="N938" s="5">
        <v>0</v>
      </c>
      <c r="O938">
        <v>0</v>
      </c>
    </row>
    <row r="939" spans="1:15" hidden="1" x14ac:dyDescent="0.25">
      <c r="A939" s="2" t="s">
        <v>5780</v>
      </c>
      <c r="B939" s="3">
        <v>44493</v>
      </c>
      <c r="C939" s="2" t="s">
        <v>5781</v>
      </c>
      <c r="D939" t="s">
        <v>6151</v>
      </c>
      <c r="E939" s="2">
        <v>4</v>
      </c>
      <c r="F939" s="2" t="s">
        <v>5787</v>
      </c>
      <c r="G939" s="4" t="s">
        <v>5788</v>
      </c>
      <c r="H939" s="2" t="s">
        <v>19</v>
      </c>
      <c r="I939" s="2" t="s">
        <v>56</v>
      </c>
      <c r="J939">
        <v>0</v>
      </c>
      <c r="K939">
        <v>0</v>
      </c>
      <c r="L939">
        <v>0</v>
      </c>
      <c r="M939">
        <v>0</v>
      </c>
      <c r="N939" s="5">
        <v>0</v>
      </c>
      <c r="O939">
        <v>0</v>
      </c>
    </row>
    <row r="940" spans="1:15" hidden="1" x14ac:dyDescent="0.25">
      <c r="A940" s="2" t="s">
        <v>5791</v>
      </c>
      <c r="B940" s="3">
        <v>43829</v>
      </c>
      <c r="C940" s="2" t="s">
        <v>5792</v>
      </c>
      <c r="D940" t="s">
        <v>6171</v>
      </c>
      <c r="E940" s="2">
        <v>5</v>
      </c>
      <c r="F940" s="2" t="s">
        <v>5793</v>
      </c>
      <c r="G940" s="4" t="s">
        <v>5794</v>
      </c>
      <c r="H940" s="2" t="s">
        <v>19</v>
      </c>
      <c r="I940" s="2" t="s">
        <v>63</v>
      </c>
      <c r="J940">
        <v>0</v>
      </c>
      <c r="K940">
        <v>0</v>
      </c>
      <c r="L940">
        <v>0</v>
      </c>
      <c r="M940">
        <v>0</v>
      </c>
      <c r="N940" s="5">
        <v>0</v>
      </c>
      <c r="O940">
        <v>0</v>
      </c>
    </row>
    <row r="941" spans="1:15" hidden="1" x14ac:dyDescent="0.25">
      <c r="A941" s="2" t="s">
        <v>5797</v>
      </c>
      <c r="B941" s="3">
        <v>44229</v>
      </c>
      <c r="C941" s="2" t="s">
        <v>5798</v>
      </c>
      <c r="D941" t="s">
        <v>6145</v>
      </c>
      <c r="E941" s="2">
        <v>6</v>
      </c>
      <c r="F941" s="2" t="s">
        <v>5799</v>
      </c>
      <c r="G941" s="4" t="s">
        <v>5800</v>
      </c>
      <c r="H941" s="2" t="s">
        <v>19</v>
      </c>
      <c r="I941" s="2" t="s">
        <v>227</v>
      </c>
      <c r="J941">
        <v>0</v>
      </c>
      <c r="K941">
        <v>0</v>
      </c>
      <c r="L941">
        <v>0</v>
      </c>
      <c r="M941">
        <v>0</v>
      </c>
      <c r="N941" s="5">
        <v>0</v>
      </c>
      <c r="O941">
        <v>0</v>
      </c>
    </row>
    <row r="942" spans="1:15" hidden="1" x14ac:dyDescent="0.25">
      <c r="A942" s="2" t="s">
        <v>5803</v>
      </c>
      <c r="B942" s="3">
        <v>44332</v>
      </c>
      <c r="C942" s="2" t="s">
        <v>5804</v>
      </c>
      <c r="D942" t="s">
        <v>6173</v>
      </c>
      <c r="E942" s="2">
        <v>2</v>
      </c>
      <c r="F942" s="2" t="s">
        <v>5805</v>
      </c>
      <c r="G942" s="4" t="s">
        <v>5806</v>
      </c>
      <c r="H942" s="2" t="s">
        <v>19</v>
      </c>
      <c r="I942" s="2" t="s">
        <v>47</v>
      </c>
      <c r="J942">
        <v>0</v>
      </c>
      <c r="K942">
        <v>0</v>
      </c>
      <c r="L942">
        <v>0</v>
      </c>
      <c r="M942">
        <v>0</v>
      </c>
      <c r="N942" s="5">
        <v>0</v>
      </c>
      <c r="O942">
        <v>0</v>
      </c>
    </row>
    <row r="943" spans="1:15" hidden="1" x14ac:dyDescent="0.25">
      <c r="A943" s="2" t="s">
        <v>5809</v>
      </c>
      <c r="B943" s="3">
        <v>44674</v>
      </c>
      <c r="C943" s="2" t="s">
        <v>5810</v>
      </c>
      <c r="D943" t="s">
        <v>6180</v>
      </c>
      <c r="E943" s="2">
        <v>2</v>
      </c>
      <c r="F943" s="2" t="s">
        <v>5811</v>
      </c>
      <c r="G943" s="4" t="s">
        <v>5812</v>
      </c>
      <c r="H943" s="2" t="s">
        <v>318</v>
      </c>
      <c r="I943" s="2" t="s">
        <v>5815</v>
      </c>
      <c r="J943">
        <v>0</v>
      </c>
      <c r="K943">
        <v>0</v>
      </c>
      <c r="L943">
        <v>0</v>
      </c>
      <c r="M943">
        <v>0</v>
      </c>
      <c r="N943" s="5">
        <v>0</v>
      </c>
      <c r="O943">
        <v>0</v>
      </c>
    </row>
    <row r="944" spans="1:15" hidden="1" x14ac:dyDescent="0.25">
      <c r="A944" s="2" t="s">
        <v>5816</v>
      </c>
      <c r="B944" s="3">
        <v>44464</v>
      </c>
      <c r="C944" s="2" t="s">
        <v>5817</v>
      </c>
      <c r="D944" t="s">
        <v>6179</v>
      </c>
      <c r="E944" s="2">
        <v>3</v>
      </c>
      <c r="F944" s="2" t="s">
        <v>5818</v>
      </c>
      <c r="G944" s="4" t="s">
        <v>5819</v>
      </c>
      <c r="H944" s="2" t="s">
        <v>19</v>
      </c>
      <c r="I944" s="2" t="s">
        <v>167</v>
      </c>
      <c r="J944">
        <v>0</v>
      </c>
      <c r="K944">
        <v>0</v>
      </c>
      <c r="L944">
        <v>0</v>
      </c>
      <c r="M944">
        <v>0</v>
      </c>
      <c r="N944" s="5">
        <v>0</v>
      </c>
      <c r="O944">
        <v>0</v>
      </c>
    </row>
    <row r="945" spans="1:15" hidden="1" x14ac:dyDescent="0.25">
      <c r="A945" s="2" t="s">
        <v>5822</v>
      </c>
      <c r="B945" s="3">
        <v>44719</v>
      </c>
      <c r="C945" s="2" t="s">
        <v>5823</v>
      </c>
      <c r="D945" t="s">
        <v>6180</v>
      </c>
      <c r="E945" s="2">
        <v>6</v>
      </c>
      <c r="F945" s="2" t="s">
        <v>5824</v>
      </c>
      <c r="G945" s="4" t="s">
        <v>5825</v>
      </c>
      <c r="H945" s="2" t="s">
        <v>19</v>
      </c>
      <c r="I945" s="2" t="s">
        <v>175</v>
      </c>
      <c r="J945">
        <v>0</v>
      </c>
      <c r="K945">
        <v>0</v>
      </c>
      <c r="L945">
        <v>0</v>
      </c>
      <c r="M945">
        <v>0</v>
      </c>
      <c r="N945" s="5">
        <v>0</v>
      </c>
      <c r="O945">
        <v>0</v>
      </c>
    </row>
    <row r="946" spans="1:15" hidden="1" x14ac:dyDescent="0.25">
      <c r="A946" s="2" t="s">
        <v>5828</v>
      </c>
      <c r="B946" s="3">
        <v>44054</v>
      </c>
      <c r="C946" s="2" t="s">
        <v>5829</v>
      </c>
      <c r="D946" t="s">
        <v>6173</v>
      </c>
      <c r="E946" s="2">
        <v>5</v>
      </c>
      <c r="F946" s="2" t="s">
        <v>5830</v>
      </c>
      <c r="G946" s="4" t="s">
        <v>5831</v>
      </c>
      <c r="H946" s="2" t="s">
        <v>19</v>
      </c>
      <c r="I946" s="2" t="s">
        <v>134</v>
      </c>
      <c r="J946">
        <v>0</v>
      </c>
      <c r="K946">
        <v>0</v>
      </c>
      <c r="L946">
        <v>0</v>
      </c>
      <c r="M946">
        <v>0</v>
      </c>
      <c r="N946" s="5">
        <v>0</v>
      </c>
      <c r="O946">
        <v>0</v>
      </c>
    </row>
    <row r="947" spans="1:15" hidden="1" x14ac:dyDescent="0.25">
      <c r="A947" s="2" t="s">
        <v>5834</v>
      </c>
      <c r="B947" s="3">
        <v>43524</v>
      </c>
      <c r="C947" s="2" t="s">
        <v>5835</v>
      </c>
      <c r="D947" t="s">
        <v>6165</v>
      </c>
      <c r="E947" s="2">
        <v>4</v>
      </c>
      <c r="F947" s="2" t="s">
        <v>5836</v>
      </c>
      <c r="G947" s="4">
        <v>0</v>
      </c>
      <c r="H947" s="2" t="s">
        <v>19</v>
      </c>
      <c r="I947" s="2" t="s">
        <v>50</v>
      </c>
      <c r="J947">
        <v>0</v>
      </c>
      <c r="K947">
        <v>0</v>
      </c>
      <c r="L947">
        <v>0</v>
      </c>
      <c r="M947">
        <v>0</v>
      </c>
      <c r="N947" s="5">
        <v>0</v>
      </c>
      <c r="O947">
        <v>0</v>
      </c>
    </row>
    <row r="948" spans="1:15" hidden="1" x14ac:dyDescent="0.25">
      <c r="A948" s="2" t="s">
        <v>5839</v>
      </c>
      <c r="B948" s="3">
        <v>43719</v>
      </c>
      <c r="C948" s="2" t="s">
        <v>5840</v>
      </c>
      <c r="D948" t="s">
        <v>6169</v>
      </c>
      <c r="E948" s="2">
        <v>3</v>
      </c>
      <c r="F948" s="2" t="s">
        <v>5841</v>
      </c>
      <c r="G948" s="4">
        <v>0</v>
      </c>
      <c r="H948" s="2" t="s">
        <v>19</v>
      </c>
      <c r="I948" s="2" t="s">
        <v>144</v>
      </c>
      <c r="J948">
        <v>0</v>
      </c>
      <c r="K948">
        <v>0</v>
      </c>
      <c r="L948">
        <v>0</v>
      </c>
      <c r="M948">
        <v>0</v>
      </c>
      <c r="N948" s="5">
        <v>0</v>
      </c>
      <c r="O948">
        <v>0</v>
      </c>
    </row>
    <row r="949" spans="1:15" hidden="1" x14ac:dyDescent="0.25">
      <c r="A949" s="2" t="s">
        <v>5844</v>
      </c>
      <c r="B949" s="3">
        <v>44294</v>
      </c>
      <c r="C949" s="2" t="s">
        <v>5845</v>
      </c>
      <c r="D949" t="s">
        <v>6155</v>
      </c>
      <c r="E949" s="2">
        <v>1</v>
      </c>
      <c r="F949" s="2" t="s">
        <v>5846</v>
      </c>
      <c r="G949" s="4" t="s">
        <v>5847</v>
      </c>
      <c r="H949" s="2" t="s">
        <v>318</v>
      </c>
      <c r="I949" s="2" t="s">
        <v>320</v>
      </c>
      <c r="J949">
        <v>0</v>
      </c>
      <c r="K949">
        <v>0</v>
      </c>
      <c r="L949">
        <v>0</v>
      </c>
      <c r="M949">
        <v>0</v>
      </c>
      <c r="N949" s="5">
        <v>0</v>
      </c>
      <c r="O949">
        <v>0</v>
      </c>
    </row>
    <row r="950" spans="1:15" hidden="1" x14ac:dyDescent="0.25">
      <c r="A950" s="2" t="s">
        <v>5849</v>
      </c>
      <c r="B950" s="3">
        <v>44445</v>
      </c>
      <c r="C950" s="2" t="s">
        <v>5850</v>
      </c>
      <c r="D950" t="s">
        <v>6185</v>
      </c>
      <c r="E950" s="2">
        <v>3</v>
      </c>
      <c r="F950" s="2" t="s">
        <v>5851</v>
      </c>
      <c r="G950" s="4" t="s">
        <v>5852</v>
      </c>
      <c r="H950" s="2" t="s">
        <v>28</v>
      </c>
      <c r="I950" s="2" t="s">
        <v>180</v>
      </c>
      <c r="J950">
        <v>0</v>
      </c>
      <c r="K950">
        <v>0</v>
      </c>
      <c r="L950">
        <v>0</v>
      </c>
      <c r="M950">
        <v>0</v>
      </c>
      <c r="N950" s="5">
        <v>0</v>
      </c>
      <c r="O950">
        <v>0</v>
      </c>
    </row>
    <row r="951" spans="1:15" hidden="1" x14ac:dyDescent="0.25">
      <c r="A951" s="2" t="s">
        <v>5855</v>
      </c>
      <c r="B951" s="3">
        <v>44449</v>
      </c>
      <c r="C951" s="2" t="s">
        <v>5856</v>
      </c>
      <c r="D951" t="s">
        <v>6142</v>
      </c>
      <c r="E951" s="2">
        <v>4</v>
      </c>
      <c r="F951" s="2" t="s">
        <v>5857</v>
      </c>
      <c r="G951" s="4" t="s">
        <v>5858</v>
      </c>
      <c r="H951" s="2" t="s">
        <v>318</v>
      </c>
      <c r="I951" s="2" t="s">
        <v>489</v>
      </c>
      <c r="J951">
        <v>0</v>
      </c>
      <c r="K951">
        <v>0</v>
      </c>
      <c r="L951">
        <v>0</v>
      </c>
      <c r="M951">
        <v>0</v>
      </c>
      <c r="N951" s="5">
        <v>0</v>
      </c>
      <c r="O951">
        <v>0</v>
      </c>
    </row>
    <row r="952" spans="1:15" hidden="1" x14ac:dyDescent="0.25">
      <c r="A952" s="2" t="s">
        <v>5861</v>
      </c>
      <c r="B952" s="3">
        <v>44703</v>
      </c>
      <c r="C952" s="2" t="s">
        <v>5862</v>
      </c>
      <c r="D952" t="s">
        <v>6178</v>
      </c>
      <c r="E952" s="2">
        <v>4</v>
      </c>
      <c r="F952" s="2" t="s">
        <v>5863</v>
      </c>
      <c r="G952" s="4">
        <v>0</v>
      </c>
      <c r="H952" s="2" t="s">
        <v>19</v>
      </c>
      <c r="I952" s="2" t="s">
        <v>168</v>
      </c>
      <c r="J952">
        <v>0</v>
      </c>
      <c r="K952">
        <v>0</v>
      </c>
      <c r="L952">
        <v>0</v>
      </c>
      <c r="M952">
        <v>0</v>
      </c>
      <c r="N952" s="5">
        <v>0</v>
      </c>
      <c r="O952">
        <v>0</v>
      </c>
    </row>
    <row r="953" spans="1:15" hidden="1" x14ac:dyDescent="0.25">
      <c r="A953" s="2" t="s">
        <v>5866</v>
      </c>
      <c r="B953" s="3">
        <v>44092</v>
      </c>
      <c r="C953" s="2" t="s">
        <v>5867</v>
      </c>
      <c r="D953" t="s">
        <v>6178</v>
      </c>
      <c r="E953" s="2">
        <v>6</v>
      </c>
      <c r="F953" s="2" t="s">
        <v>5868</v>
      </c>
      <c r="G953" s="4" t="s">
        <v>5869</v>
      </c>
      <c r="H953" s="2" t="s">
        <v>19</v>
      </c>
      <c r="I953" s="2" t="s">
        <v>172</v>
      </c>
      <c r="J953">
        <v>0</v>
      </c>
      <c r="K953">
        <v>0</v>
      </c>
      <c r="L953">
        <v>0</v>
      </c>
      <c r="M953">
        <v>0</v>
      </c>
      <c r="N953" s="5">
        <v>0</v>
      </c>
      <c r="O953">
        <v>0</v>
      </c>
    </row>
    <row r="954" spans="1:15" hidden="1" x14ac:dyDescent="0.25">
      <c r="A954" s="2" t="s">
        <v>5872</v>
      </c>
      <c r="B954" s="3">
        <v>44439</v>
      </c>
      <c r="C954" s="2" t="s">
        <v>5873</v>
      </c>
      <c r="D954" t="s">
        <v>6155</v>
      </c>
      <c r="E954" s="2">
        <v>2</v>
      </c>
      <c r="F954" s="2" t="s">
        <v>5874</v>
      </c>
      <c r="G954" s="4" t="s">
        <v>5875</v>
      </c>
      <c r="H954" s="2" t="s">
        <v>318</v>
      </c>
      <c r="I954" s="2" t="s">
        <v>5815</v>
      </c>
      <c r="J954">
        <v>0</v>
      </c>
      <c r="K954">
        <v>0</v>
      </c>
      <c r="L954">
        <v>0</v>
      </c>
      <c r="M954">
        <v>0</v>
      </c>
      <c r="N954" s="5">
        <v>0</v>
      </c>
      <c r="O954">
        <v>0</v>
      </c>
    </row>
    <row r="955" spans="1:15" hidden="1" x14ac:dyDescent="0.25">
      <c r="A955" s="2" t="s">
        <v>5878</v>
      </c>
      <c r="B955" s="3">
        <v>44582</v>
      </c>
      <c r="C955" s="2" t="s">
        <v>5764</v>
      </c>
      <c r="D955" t="s">
        <v>6167</v>
      </c>
      <c r="E955" s="2">
        <v>1</v>
      </c>
      <c r="F955" s="2" t="s">
        <v>5880</v>
      </c>
      <c r="G955" s="4" t="s">
        <v>5881</v>
      </c>
      <c r="H955" s="2" t="s">
        <v>19</v>
      </c>
      <c r="I955" s="2" t="s">
        <v>50</v>
      </c>
      <c r="J955">
        <v>0</v>
      </c>
      <c r="K955">
        <v>0</v>
      </c>
      <c r="L955">
        <v>0</v>
      </c>
      <c r="M955">
        <v>0</v>
      </c>
      <c r="N955" s="5">
        <v>0</v>
      </c>
      <c r="O955">
        <v>0</v>
      </c>
    </row>
    <row r="956" spans="1:15" hidden="1" x14ac:dyDescent="0.25">
      <c r="A956" s="2" t="s">
        <v>5884</v>
      </c>
      <c r="B956" s="3">
        <v>44722</v>
      </c>
      <c r="C956" s="2" t="s">
        <v>5764</v>
      </c>
      <c r="D956" t="s">
        <v>6185</v>
      </c>
      <c r="E956" s="2">
        <v>1</v>
      </c>
      <c r="F956" s="2" t="s">
        <v>5886</v>
      </c>
      <c r="G956" s="4" t="s">
        <v>5887</v>
      </c>
      <c r="H956" s="2" t="s">
        <v>19</v>
      </c>
      <c r="I956" s="2" t="s">
        <v>104</v>
      </c>
      <c r="J956">
        <v>0</v>
      </c>
      <c r="K956">
        <v>0</v>
      </c>
      <c r="L956">
        <v>0</v>
      </c>
      <c r="M956">
        <v>0</v>
      </c>
      <c r="N956" s="5">
        <v>0</v>
      </c>
      <c r="O956">
        <v>0</v>
      </c>
    </row>
    <row r="957" spans="1:15" hidden="1" x14ac:dyDescent="0.25">
      <c r="A957" s="2" t="s">
        <v>5890</v>
      </c>
      <c r="B957" s="3">
        <v>43582</v>
      </c>
      <c r="C957" s="2" t="s">
        <v>5764</v>
      </c>
      <c r="D957" t="s">
        <v>6148</v>
      </c>
      <c r="E957" s="2">
        <v>5</v>
      </c>
      <c r="F957" s="2" t="s">
        <v>5892</v>
      </c>
      <c r="G957" s="4" t="s">
        <v>5893</v>
      </c>
      <c r="H957" s="2" t="s">
        <v>19</v>
      </c>
      <c r="I957" s="2" t="s">
        <v>4511</v>
      </c>
      <c r="J957">
        <v>0</v>
      </c>
      <c r="K957">
        <v>0</v>
      </c>
      <c r="L957">
        <v>0</v>
      </c>
      <c r="M957">
        <v>0</v>
      </c>
      <c r="N957" s="5">
        <v>0</v>
      </c>
      <c r="O957">
        <v>0</v>
      </c>
    </row>
    <row r="958" spans="1:15" hidden="1" x14ac:dyDescent="0.25">
      <c r="A958" s="2" t="s">
        <v>5890</v>
      </c>
      <c r="B958" s="3">
        <v>43582</v>
      </c>
      <c r="C958" s="2" t="s">
        <v>5764</v>
      </c>
      <c r="D958" t="s">
        <v>6142</v>
      </c>
      <c r="E958" s="2">
        <v>2</v>
      </c>
      <c r="F958" s="2" t="s">
        <v>5897</v>
      </c>
      <c r="G958" s="4" t="s">
        <v>5898</v>
      </c>
      <c r="H958" s="2" t="s">
        <v>19</v>
      </c>
      <c r="I958" s="2" t="s">
        <v>130</v>
      </c>
      <c r="J958">
        <v>0</v>
      </c>
      <c r="K958">
        <v>0</v>
      </c>
      <c r="L958">
        <v>0</v>
      </c>
      <c r="M958">
        <v>0</v>
      </c>
      <c r="N958" s="5">
        <v>0</v>
      </c>
      <c r="O958">
        <v>0</v>
      </c>
    </row>
    <row r="959" spans="1:15" hidden="1" x14ac:dyDescent="0.25">
      <c r="A959" s="2" t="s">
        <v>5890</v>
      </c>
      <c r="B959" s="3">
        <v>43582</v>
      </c>
      <c r="C959" s="2" t="s">
        <v>5764</v>
      </c>
      <c r="D959" t="s">
        <v>6171</v>
      </c>
      <c r="E959" s="2">
        <v>1</v>
      </c>
      <c r="F959" s="2" t="s">
        <v>5902</v>
      </c>
      <c r="G959" s="4" t="s">
        <v>5903</v>
      </c>
      <c r="H959" s="2" t="s">
        <v>19</v>
      </c>
      <c r="I959" s="2" t="s">
        <v>47</v>
      </c>
      <c r="J959">
        <v>0</v>
      </c>
      <c r="K959">
        <v>0</v>
      </c>
      <c r="L959">
        <v>0</v>
      </c>
      <c r="M959">
        <v>0</v>
      </c>
      <c r="N959" s="5">
        <v>0</v>
      </c>
      <c r="O959">
        <v>0</v>
      </c>
    </row>
    <row r="960" spans="1:15" hidden="1" x14ac:dyDescent="0.25">
      <c r="A960" s="2" t="s">
        <v>5890</v>
      </c>
      <c r="B960" s="3">
        <v>43582</v>
      </c>
      <c r="C960" s="2" t="s">
        <v>5764</v>
      </c>
      <c r="D960" t="s">
        <v>6167</v>
      </c>
      <c r="E960" s="2">
        <v>2</v>
      </c>
      <c r="F960" s="2" t="s">
        <v>5907</v>
      </c>
      <c r="G960" s="4" t="s">
        <v>5908</v>
      </c>
      <c r="H960" s="2" t="s">
        <v>19</v>
      </c>
      <c r="I960" s="2" t="s">
        <v>182</v>
      </c>
      <c r="J960">
        <v>0</v>
      </c>
      <c r="K960">
        <v>0</v>
      </c>
      <c r="L960">
        <v>0</v>
      </c>
      <c r="M960">
        <v>0</v>
      </c>
      <c r="N960" s="5">
        <v>0</v>
      </c>
      <c r="O960">
        <v>0</v>
      </c>
    </row>
    <row r="961" spans="1:15" hidden="1" x14ac:dyDescent="0.25">
      <c r="A961" s="2" t="s">
        <v>5910</v>
      </c>
      <c r="B961" s="3">
        <v>44598</v>
      </c>
      <c r="C961" s="2" t="s">
        <v>5911</v>
      </c>
      <c r="D961" t="s">
        <v>6145</v>
      </c>
      <c r="E961" s="2">
        <v>5</v>
      </c>
      <c r="F961" s="2" t="s">
        <v>5912</v>
      </c>
      <c r="G961" s="4" t="s">
        <v>5913</v>
      </c>
      <c r="H961" s="2" t="s">
        <v>19</v>
      </c>
      <c r="I961" s="2" t="s">
        <v>88</v>
      </c>
      <c r="J961">
        <v>0</v>
      </c>
      <c r="K961">
        <v>0</v>
      </c>
      <c r="L961">
        <v>0</v>
      </c>
      <c r="M961">
        <v>0</v>
      </c>
      <c r="N961" s="5">
        <v>0</v>
      </c>
      <c r="O961">
        <v>0</v>
      </c>
    </row>
    <row r="962" spans="1:15" hidden="1" x14ac:dyDescent="0.25">
      <c r="A962" s="2" t="s">
        <v>5915</v>
      </c>
      <c r="B962" s="3">
        <v>44591</v>
      </c>
      <c r="C962" s="2" t="s">
        <v>5916</v>
      </c>
      <c r="D962" t="s">
        <v>6170</v>
      </c>
      <c r="E962" s="2">
        <v>5</v>
      </c>
      <c r="F962" s="2" t="s">
        <v>5917</v>
      </c>
      <c r="G962" s="4" t="s">
        <v>5918</v>
      </c>
      <c r="H962" s="2" t="s">
        <v>19</v>
      </c>
      <c r="I962" s="2" t="s">
        <v>261</v>
      </c>
      <c r="J962">
        <v>0</v>
      </c>
      <c r="K962">
        <v>0</v>
      </c>
      <c r="L962">
        <v>0</v>
      </c>
      <c r="M962">
        <v>0</v>
      </c>
      <c r="N962" s="5">
        <v>0</v>
      </c>
      <c r="O962">
        <v>0</v>
      </c>
    </row>
    <row r="963" spans="1:15" hidden="1" x14ac:dyDescent="0.25">
      <c r="A963" s="2" t="s">
        <v>5921</v>
      </c>
      <c r="B963" s="3">
        <v>44158</v>
      </c>
      <c r="C963" s="2" t="s">
        <v>5922</v>
      </c>
      <c r="D963" t="s">
        <v>6168</v>
      </c>
      <c r="E963" s="2">
        <v>2</v>
      </c>
      <c r="F963" s="2" t="s">
        <v>5923</v>
      </c>
      <c r="G963" s="4">
        <v>0</v>
      </c>
      <c r="H963" s="2" t="s">
        <v>19</v>
      </c>
      <c r="I963" s="2" t="s">
        <v>198</v>
      </c>
      <c r="J963">
        <v>0</v>
      </c>
      <c r="K963">
        <v>0</v>
      </c>
      <c r="L963">
        <v>0</v>
      </c>
      <c r="M963">
        <v>0</v>
      </c>
      <c r="N963" s="5">
        <v>0</v>
      </c>
      <c r="O963">
        <v>0</v>
      </c>
    </row>
    <row r="964" spans="1:15" hidden="1" x14ac:dyDescent="0.25">
      <c r="A964" s="2" t="s">
        <v>5926</v>
      </c>
      <c r="B964" s="3">
        <v>44664</v>
      </c>
      <c r="C964" s="2" t="s">
        <v>5927</v>
      </c>
      <c r="D964" t="s">
        <v>6177</v>
      </c>
      <c r="E964" s="2">
        <v>1</v>
      </c>
      <c r="F964" s="2" t="s">
        <v>5928</v>
      </c>
      <c r="G964" s="4" t="s">
        <v>5929</v>
      </c>
      <c r="H964" s="2" t="s">
        <v>318</v>
      </c>
      <c r="I964" s="2" t="s">
        <v>453</v>
      </c>
      <c r="J964">
        <v>0</v>
      </c>
      <c r="K964">
        <v>0</v>
      </c>
      <c r="L964">
        <v>0</v>
      </c>
      <c r="M964">
        <v>0</v>
      </c>
      <c r="N964" s="5">
        <v>0</v>
      </c>
      <c r="O964">
        <v>0</v>
      </c>
    </row>
    <row r="965" spans="1:15" hidden="1" x14ac:dyDescent="0.25">
      <c r="A965" s="2" t="s">
        <v>5932</v>
      </c>
      <c r="B965" s="3">
        <v>44203</v>
      </c>
      <c r="C965" s="2" t="s">
        <v>5933</v>
      </c>
      <c r="D965" t="s">
        <v>6146</v>
      </c>
      <c r="E965" s="2">
        <v>4</v>
      </c>
      <c r="F965" s="2" t="s">
        <v>5934</v>
      </c>
      <c r="G965" s="4" t="s">
        <v>5935</v>
      </c>
      <c r="H965" s="2" t="s">
        <v>19</v>
      </c>
      <c r="I965" s="2" t="s">
        <v>43</v>
      </c>
      <c r="J965">
        <v>0</v>
      </c>
      <c r="K965">
        <v>0</v>
      </c>
      <c r="L965">
        <v>0</v>
      </c>
      <c r="M965">
        <v>0</v>
      </c>
      <c r="N965" s="5">
        <v>0</v>
      </c>
      <c r="O965">
        <v>0</v>
      </c>
    </row>
    <row r="966" spans="1:15" hidden="1" x14ac:dyDescent="0.25">
      <c r="A966" s="2" t="s">
        <v>5938</v>
      </c>
      <c r="B966" s="3">
        <v>43865</v>
      </c>
      <c r="C966" s="2" t="s">
        <v>5939</v>
      </c>
      <c r="D966" t="s">
        <v>6184</v>
      </c>
      <c r="E966" s="2">
        <v>5</v>
      </c>
      <c r="F966" s="2" t="s">
        <v>5940</v>
      </c>
      <c r="G966" s="4" t="s">
        <v>5941</v>
      </c>
      <c r="H966" s="2" t="s">
        <v>19</v>
      </c>
      <c r="I966" s="2" t="s">
        <v>58</v>
      </c>
      <c r="J966">
        <v>0</v>
      </c>
      <c r="K966">
        <v>0</v>
      </c>
      <c r="L966">
        <v>0</v>
      </c>
      <c r="M966">
        <v>0</v>
      </c>
      <c r="N966" s="5">
        <v>0</v>
      </c>
      <c r="O966">
        <v>0</v>
      </c>
    </row>
    <row r="967" spans="1:15" hidden="1" x14ac:dyDescent="0.25">
      <c r="A967" s="2" t="s">
        <v>5944</v>
      </c>
      <c r="B967" s="3">
        <v>43724</v>
      </c>
      <c r="C967" s="2" t="s">
        <v>5945</v>
      </c>
      <c r="D967" t="s">
        <v>6138</v>
      </c>
      <c r="E967" s="2">
        <v>3</v>
      </c>
      <c r="F967" s="2" t="s">
        <v>5946</v>
      </c>
      <c r="G967" s="4" t="s">
        <v>5947</v>
      </c>
      <c r="H967" s="2" t="s">
        <v>19</v>
      </c>
      <c r="I967" s="2" t="s">
        <v>27</v>
      </c>
      <c r="J967">
        <v>0</v>
      </c>
      <c r="K967">
        <v>0</v>
      </c>
      <c r="L967">
        <v>0</v>
      </c>
      <c r="M967">
        <v>0</v>
      </c>
      <c r="N967" s="5">
        <v>0</v>
      </c>
      <c r="O967">
        <v>0</v>
      </c>
    </row>
    <row r="968" spans="1:15" hidden="1" x14ac:dyDescent="0.25">
      <c r="A968" s="2" t="s">
        <v>5949</v>
      </c>
      <c r="B968" s="3">
        <v>43491</v>
      </c>
      <c r="C968" s="2" t="s">
        <v>5950</v>
      </c>
      <c r="D968" t="s">
        <v>6176</v>
      </c>
      <c r="E968" s="2">
        <v>6</v>
      </c>
      <c r="F968" s="2" t="s">
        <v>5951</v>
      </c>
      <c r="G968" s="4" t="s">
        <v>5952</v>
      </c>
      <c r="H968" s="2" t="s">
        <v>19</v>
      </c>
      <c r="I968" s="2" t="s">
        <v>139</v>
      </c>
      <c r="J968">
        <v>0</v>
      </c>
      <c r="K968">
        <v>0</v>
      </c>
      <c r="L968">
        <v>0</v>
      </c>
      <c r="M968">
        <v>0</v>
      </c>
      <c r="N968" s="5">
        <v>0</v>
      </c>
      <c r="O968">
        <v>0</v>
      </c>
    </row>
    <row r="969" spans="1:15" hidden="1" x14ac:dyDescent="0.25">
      <c r="A969" s="2" t="s">
        <v>5955</v>
      </c>
      <c r="B969" s="3">
        <v>44246</v>
      </c>
      <c r="C969" s="2" t="s">
        <v>5956</v>
      </c>
      <c r="D969" t="s">
        <v>6163</v>
      </c>
      <c r="E969" s="2">
        <v>1</v>
      </c>
      <c r="F969" s="2" t="s">
        <v>5957</v>
      </c>
      <c r="G969" s="4" t="s">
        <v>5958</v>
      </c>
      <c r="H969" s="2" t="s">
        <v>318</v>
      </c>
      <c r="I969" s="2" t="s">
        <v>353</v>
      </c>
      <c r="J969">
        <v>0</v>
      </c>
      <c r="K969">
        <v>0</v>
      </c>
      <c r="L969">
        <v>0</v>
      </c>
      <c r="M969">
        <v>0</v>
      </c>
      <c r="N969" s="5">
        <v>0</v>
      </c>
      <c r="O969">
        <v>0</v>
      </c>
    </row>
    <row r="970" spans="1:15" hidden="1" x14ac:dyDescent="0.25">
      <c r="A970" s="2" t="s">
        <v>5961</v>
      </c>
      <c r="B970" s="3">
        <v>44642</v>
      </c>
      <c r="C970" s="2" t="s">
        <v>5962</v>
      </c>
      <c r="D970" t="s">
        <v>6174</v>
      </c>
      <c r="E970" s="2">
        <v>2</v>
      </c>
      <c r="F970" s="2" t="s">
        <v>5963</v>
      </c>
      <c r="G970" s="4" t="s">
        <v>5964</v>
      </c>
      <c r="H970" s="2" t="s">
        <v>19</v>
      </c>
      <c r="I970" s="2" t="s">
        <v>293</v>
      </c>
      <c r="J970">
        <v>0</v>
      </c>
      <c r="K970">
        <v>0</v>
      </c>
      <c r="L970">
        <v>0</v>
      </c>
      <c r="M970">
        <v>0</v>
      </c>
      <c r="N970" s="5">
        <v>0</v>
      </c>
      <c r="O970">
        <v>0</v>
      </c>
    </row>
    <row r="971" spans="1:15" hidden="1" x14ac:dyDescent="0.25">
      <c r="A971" s="2" t="s">
        <v>5967</v>
      </c>
      <c r="B971" s="3">
        <v>43649</v>
      </c>
      <c r="C971" s="2" t="s">
        <v>5968</v>
      </c>
      <c r="D971" t="s">
        <v>6143</v>
      </c>
      <c r="E971" s="2">
        <v>1</v>
      </c>
      <c r="F971" s="2" t="s">
        <v>5969</v>
      </c>
      <c r="G971" s="4" t="s">
        <v>5970</v>
      </c>
      <c r="H971" s="2" t="s">
        <v>19</v>
      </c>
      <c r="I971" s="2" t="s">
        <v>209</v>
      </c>
      <c r="J971">
        <v>0</v>
      </c>
      <c r="K971">
        <v>0</v>
      </c>
      <c r="L971">
        <v>0</v>
      </c>
      <c r="M971">
        <v>0</v>
      </c>
      <c r="N971" s="5">
        <v>0</v>
      </c>
      <c r="O971">
        <v>0</v>
      </c>
    </row>
    <row r="972" spans="1:15" hidden="1" x14ac:dyDescent="0.25">
      <c r="A972" s="2" t="s">
        <v>5973</v>
      </c>
      <c r="B972" s="3">
        <v>43729</v>
      </c>
      <c r="C972" s="2" t="s">
        <v>5974</v>
      </c>
      <c r="D972" t="s">
        <v>6139</v>
      </c>
      <c r="E972" s="2">
        <v>1</v>
      </c>
      <c r="F972" s="2" t="s">
        <v>5975</v>
      </c>
      <c r="G972" s="4">
        <v>0</v>
      </c>
      <c r="H972" s="2" t="s">
        <v>19</v>
      </c>
      <c r="I972" s="2" t="s">
        <v>240</v>
      </c>
      <c r="J972">
        <v>0</v>
      </c>
      <c r="K972">
        <v>0</v>
      </c>
      <c r="L972">
        <v>0</v>
      </c>
      <c r="M972">
        <v>0</v>
      </c>
      <c r="N972" s="5">
        <v>0</v>
      </c>
      <c r="O972">
        <v>0</v>
      </c>
    </row>
    <row r="973" spans="1:15" hidden="1" x14ac:dyDescent="0.25">
      <c r="A973" s="2" t="s">
        <v>5978</v>
      </c>
      <c r="B973" s="3">
        <v>43703</v>
      </c>
      <c r="C973" s="2" t="s">
        <v>5979</v>
      </c>
      <c r="D973" t="s">
        <v>6182</v>
      </c>
      <c r="E973" s="2">
        <v>5</v>
      </c>
      <c r="F973" s="2" t="s">
        <v>5980</v>
      </c>
      <c r="G973" s="4" t="s">
        <v>5981</v>
      </c>
      <c r="H973" s="2" t="s">
        <v>19</v>
      </c>
      <c r="I973" s="2" t="s">
        <v>106</v>
      </c>
      <c r="J973">
        <v>0</v>
      </c>
      <c r="K973">
        <v>0</v>
      </c>
      <c r="L973">
        <v>0</v>
      </c>
      <c r="M973">
        <v>0</v>
      </c>
      <c r="N973" s="5">
        <v>0</v>
      </c>
      <c r="O973">
        <v>0</v>
      </c>
    </row>
    <row r="974" spans="1:15" hidden="1" x14ac:dyDescent="0.25">
      <c r="A974" s="2" t="s">
        <v>5984</v>
      </c>
      <c r="B974" s="3">
        <v>44411</v>
      </c>
      <c r="C974" s="2" t="s">
        <v>5985</v>
      </c>
      <c r="D974" t="s">
        <v>6182</v>
      </c>
      <c r="E974" s="2">
        <v>3</v>
      </c>
      <c r="F974" s="2" t="s">
        <v>5986</v>
      </c>
      <c r="G974" s="4">
        <v>0</v>
      </c>
      <c r="H974" s="2" t="s">
        <v>318</v>
      </c>
      <c r="I974" s="2" t="s">
        <v>331</v>
      </c>
      <c r="J974">
        <v>0</v>
      </c>
      <c r="K974">
        <v>0</v>
      </c>
      <c r="L974">
        <v>0</v>
      </c>
      <c r="M974">
        <v>0</v>
      </c>
      <c r="N974" s="5">
        <v>0</v>
      </c>
      <c r="O974">
        <v>0</v>
      </c>
    </row>
    <row r="975" spans="1:15" hidden="1" x14ac:dyDescent="0.25">
      <c r="A975" s="2" t="s">
        <v>5989</v>
      </c>
      <c r="B975" s="3">
        <v>44493</v>
      </c>
      <c r="C975" s="2" t="s">
        <v>5990</v>
      </c>
      <c r="D975" t="s">
        <v>6162</v>
      </c>
      <c r="E975" s="2">
        <v>6</v>
      </c>
      <c r="F975" s="2" t="s">
        <v>5991</v>
      </c>
      <c r="G975" s="4" t="s">
        <v>5992</v>
      </c>
      <c r="H975" s="2" t="s">
        <v>19</v>
      </c>
      <c r="I975" s="2" t="s">
        <v>250</v>
      </c>
      <c r="J975">
        <v>0</v>
      </c>
      <c r="K975">
        <v>0</v>
      </c>
      <c r="L975">
        <v>0</v>
      </c>
      <c r="M975">
        <v>0</v>
      </c>
      <c r="N975" s="5">
        <v>0</v>
      </c>
      <c r="O975">
        <v>0</v>
      </c>
    </row>
    <row r="976" spans="1:15" hidden="1" x14ac:dyDescent="0.25">
      <c r="A976" s="2" t="s">
        <v>5995</v>
      </c>
      <c r="B976" s="3">
        <v>43556</v>
      </c>
      <c r="C976" s="2" t="s">
        <v>5996</v>
      </c>
      <c r="D976" t="s">
        <v>6172</v>
      </c>
      <c r="E976" s="2">
        <v>1</v>
      </c>
      <c r="F976" s="2" t="s">
        <v>5997</v>
      </c>
      <c r="G976" s="4" t="s">
        <v>5998</v>
      </c>
      <c r="H976" s="2" t="s">
        <v>19</v>
      </c>
      <c r="I976" s="2" t="s">
        <v>134</v>
      </c>
      <c r="J976">
        <v>0</v>
      </c>
      <c r="K976">
        <v>0</v>
      </c>
      <c r="L976">
        <v>0</v>
      </c>
      <c r="M976">
        <v>0</v>
      </c>
      <c r="N976" s="5">
        <v>0</v>
      </c>
      <c r="O976">
        <v>0</v>
      </c>
    </row>
    <row r="977" spans="1:15" hidden="1" x14ac:dyDescent="0.25">
      <c r="A977" s="2" t="s">
        <v>6001</v>
      </c>
      <c r="B977" s="3">
        <v>44538</v>
      </c>
      <c r="C977" s="2" t="s">
        <v>6002</v>
      </c>
      <c r="D977" t="s">
        <v>6154</v>
      </c>
      <c r="E977" s="2">
        <v>3</v>
      </c>
      <c r="F977" s="2" t="s">
        <v>6003</v>
      </c>
      <c r="G977" s="4" t="s">
        <v>6004</v>
      </c>
      <c r="H977" s="2" t="s">
        <v>318</v>
      </c>
      <c r="I977" s="2" t="s">
        <v>485</v>
      </c>
      <c r="J977">
        <v>0</v>
      </c>
      <c r="K977">
        <v>0</v>
      </c>
      <c r="L977">
        <v>0</v>
      </c>
      <c r="M977">
        <v>0</v>
      </c>
      <c r="N977" s="5">
        <v>0</v>
      </c>
      <c r="O977">
        <v>0</v>
      </c>
    </row>
    <row r="978" spans="1:15" hidden="1" x14ac:dyDescent="0.25">
      <c r="A978" s="2" t="s">
        <v>6007</v>
      </c>
      <c r="B978" s="3">
        <v>43643</v>
      </c>
      <c r="C978" s="2" t="s">
        <v>6008</v>
      </c>
      <c r="D978" t="s">
        <v>6142</v>
      </c>
      <c r="E978" s="2">
        <v>5</v>
      </c>
      <c r="F978" s="2" t="s">
        <v>6009</v>
      </c>
      <c r="G978" s="4" t="s">
        <v>6010</v>
      </c>
      <c r="H978" s="2" t="s">
        <v>19</v>
      </c>
      <c r="I978" s="2" t="s">
        <v>66</v>
      </c>
      <c r="J978">
        <v>0</v>
      </c>
      <c r="K978">
        <v>0</v>
      </c>
      <c r="L978">
        <v>0</v>
      </c>
      <c r="M978">
        <v>0</v>
      </c>
      <c r="N978" s="5">
        <v>0</v>
      </c>
      <c r="O978">
        <v>0</v>
      </c>
    </row>
    <row r="979" spans="1:15" hidden="1" x14ac:dyDescent="0.25">
      <c r="A979" s="2" t="s">
        <v>6013</v>
      </c>
      <c r="B979" s="3">
        <v>44026</v>
      </c>
      <c r="C979" s="2" t="s">
        <v>6014</v>
      </c>
      <c r="D979" t="s">
        <v>6179</v>
      </c>
      <c r="E979" s="2">
        <v>5</v>
      </c>
      <c r="F979" s="2" t="s">
        <v>6015</v>
      </c>
      <c r="G979" s="4" t="s">
        <v>6016</v>
      </c>
      <c r="H979" s="2" t="s">
        <v>19</v>
      </c>
      <c r="I979" s="2" t="s">
        <v>240</v>
      </c>
      <c r="J979">
        <v>0</v>
      </c>
      <c r="K979">
        <v>0</v>
      </c>
      <c r="L979">
        <v>0</v>
      </c>
      <c r="M979">
        <v>0</v>
      </c>
      <c r="N979" s="5">
        <v>0</v>
      </c>
      <c r="O979">
        <v>0</v>
      </c>
    </row>
    <row r="980" spans="1:15" hidden="1" x14ac:dyDescent="0.25">
      <c r="A980" s="2" t="s">
        <v>6019</v>
      </c>
      <c r="B980" s="3">
        <v>43913</v>
      </c>
      <c r="C980" s="2" t="s">
        <v>5990</v>
      </c>
      <c r="D980" t="s">
        <v>6180</v>
      </c>
      <c r="E980" s="2">
        <v>3</v>
      </c>
      <c r="F980" s="2" t="s">
        <v>6021</v>
      </c>
      <c r="G980" s="4" t="s">
        <v>6022</v>
      </c>
      <c r="H980" s="2" t="s">
        <v>19</v>
      </c>
      <c r="I980" s="2" t="s">
        <v>47</v>
      </c>
      <c r="J980">
        <v>0</v>
      </c>
      <c r="K980">
        <v>0</v>
      </c>
      <c r="L980">
        <v>0</v>
      </c>
      <c r="M980">
        <v>0</v>
      </c>
      <c r="N980" s="5">
        <v>0</v>
      </c>
      <c r="O980">
        <v>0</v>
      </c>
    </row>
    <row r="981" spans="1:15" hidden="1" x14ac:dyDescent="0.25">
      <c r="A981" s="2" t="s">
        <v>6025</v>
      </c>
      <c r="B981" s="3">
        <v>43856</v>
      </c>
      <c r="C981" s="2" t="s">
        <v>6026</v>
      </c>
      <c r="D981" t="s">
        <v>6172</v>
      </c>
      <c r="E981" s="2">
        <v>2</v>
      </c>
      <c r="F981" s="2" t="s">
        <v>6027</v>
      </c>
      <c r="G981" s="4">
        <v>0</v>
      </c>
      <c r="H981" s="2" t="s">
        <v>19</v>
      </c>
      <c r="I981" s="2" t="s">
        <v>312</v>
      </c>
      <c r="J981">
        <v>0</v>
      </c>
      <c r="K981">
        <v>0</v>
      </c>
      <c r="L981">
        <v>0</v>
      </c>
      <c r="M981">
        <v>0</v>
      </c>
      <c r="N981" s="5">
        <v>0</v>
      </c>
      <c r="O981">
        <v>0</v>
      </c>
    </row>
    <row r="982" spans="1:15" hidden="1" x14ac:dyDescent="0.25">
      <c r="A982" s="2" t="s">
        <v>6030</v>
      </c>
      <c r="B982" s="3">
        <v>43982</v>
      </c>
      <c r="C982" s="2" t="s">
        <v>6031</v>
      </c>
      <c r="D982" t="s">
        <v>6185</v>
      </c>
      <c r="E982" s="2">
        <v>6</v>
      </c>
      <c r="F982" s="2" t="s">
        <v>6032</v>
      </c>
      <c r="G982" s="4">
        <v>0</v>
      </c>
      <c r="H982" s="2" t="s">
        <v>19</v>
      </c>
      <c r="I982" s="2" t="s">
        <v>231</v>
      </c>
      <c r="J982">
        <v>0</v>
      </c>
      <c r="K982">
        <v>0</v>
      </c>
      <c r="L982">
        <v>0</v>
      </c>
      <c r="M982">
        <v>0</v>
      </c>
      <c r="N982" s="5">
        <v>0</v>
      </c>
      <c r="O982">
        <v>0</v>
      </c>
    </row>
    <row r="983" spans="1:15" hidden="1" x14ac:dyDescent="0.25">
      <c r="A983" s="2" t="s">
        <v>6035</v>
      </c>
      <c r="B983" s="3">
        <v>44397</v>
      </c>
      <c r="C983" s="2" t="s">
        <v>6036</v>
      </c>
      <c r="D983" t="s">
        <v>6153</v>
      </c>
      <c r="E983" s="2">
        <v>6</v>
      </c>
      <c r="F983" s="2" t="s">
        <v>6037</v>
      </c>
      <c r="G983" s="4" t="s">
        <v>6038</v>
      </c>
      <c r="H983" s="2" t="s">
        <v>19</v>
      </c>
      <c r="I983" s="2" t="s">
        <v>226</v>
      </c>
      <c r="J983">
        <v>0</v>
      </c>
      <c r="K983">
        <v>0</v>
      </c>
      <c r="L983">
        <v>0</v>
      </c>
      <c r="M983">
        <v>0</v>
      </c>
      <c r="N983" s="5">
        <v>0</v>
      </c>
      <c r="O983">
        <v>0</v>
      </c>
    </row>
    <row r="984" spans="1:15" hidden="1" x14ac:dyDescent="0.25">
      <c r="A984" s="2" t="s">
        <v>6041</v>
      </c>
      <c r="B984" s="3">
        <v>44785</v>
      </c>
      <c r="C984" s="2" t="s">
        <v>6042</v>
      </c>
      <c r="D984" t="s">
        <v>6179</v>
      </c>
      <c r="E984" s="2">
        <v>2</v>
      </c>
      <c r="F984" s="2" t="s">
        <v>6043</v>
      </c>
      <c r="G984" s="4" t="s">
        <v>6044</v>
      </c>
      <c r="H984" s="2" t="s">
        <v>19</v>
      </c>
      <c r="I984" s="2" t="s">
        <v>190</v>
      </c>
      <c r="J984">
        <v>0</v>
      </c>
      <c r="K984">
        <v>0</v>
      </c>
      <c r="L984">
        <v>0</v>
      </c>
      <c r="M984">
        <v>0</v>
      </c>
      <c r="N984" s="5">
        <v>0</v>
      </c>
      <c r="O984">
        <v>0</v>
      </c>
    </row>
    <row r="985" spans="1:15" hidden="1" x14ac:dyDescent="0.25">
      <c r="A985" s="2" t="s">
        <v>6047</v>
      </c>
      <c r="B985" s="3">
        <v>43831</v>
      </c>
      <c r="C985" s="2" t="s">
        <v>6048</v>
      </c>
      <c r="D985" t="s">
        <v>6152</v>
      </c>
      <c r="E985" s="2">
        <v>2</v>
      </c>
      <c r="F985" s="2" t="s">
        <v>6049</v>
      </c>
      <c r="G985" s="4" t="s">
        <v>6050</v>
      </c>
      <c r="H985" s="2" t="s">
        <v>19</v>
      </c>
      <c r="I985" s="2" t="s">
        <v>39</v>
      </c>
      <c r="J985">
        <v>0</v>
      </c>
      <c r="K985">
        <v>0</v>
      </c>
      <c r="L985">
        <v>0</v>
      </c>
      <c r="M985">
        <v>0</v>
      </c>
      <c r="N985" s="5">
        <v>0</v>
      </c>
      <c r="O985">
        <v>0</v>
      </c>
    </row>
    <row r="986" spans="1:15" hidden="1" x14ac:dyDescent="0.25">
      <c r="A986" s="2" t="s">
        <v>6053</v>
      </c>
      <c r="B986" s="3">
        <v>44214</v>
      </c>
      <c r="C986" s="2" t="s">
        <v>6054</v>
      </c>
      <c r="D986" t="s">
        <v>6166</v>
      </c>
      <c r="E986" s="2">
        <v>1</v>
      </c>
      <c r="F986" s="2" t="s">
        <v>6055</v>
      </c>
      <c r="G986" s="4" t="s">
        <v>6056</v>
      </c>
      <c r="H986" s="2" t="s">
        <v>318</v>
      </c>
      <c r="I986" s="2" t="s">
        <v>407</v>
      </c>
      <c r="J986">
        <v>0</v>
      </c>
      <c r="K986">
        <v>0</v>
      </c>
      <c r="L986">
        <v>0</v>
      </c>
      <c r="M986">
        <v>0</v>
      </c>
      <c r="N986" s="5">
        <v>0</v>
      </c>
      <c r="O986">
        <v>0</v>
      </c>
    </row>
    <row r="987" spans="1:15" hidden="1" x14ac:dyDescent="0.25">
      <c r="A987" s="2" t="s">
        <v>6058</v>
      </c>
      <c r="B987" s="3">
        <v>44561</v>
      </c>
      <c r="C987" s="2" t="s">
        <v>6059</v>
      </c>
      <c r="D987" t="s">
        <v>6179</v>
      </c>
      <c r="E987" s="2">
        <v>4</v>
      </c>
      <c r="F987" s="2" t="s">
        <v>6060</v>
      </c>
      <c r="G987" s="4" t="s">
        <v>6061</v>
      </c>
      <c r="H987" s="2" t="s">
        <v>19</v>
      </c>
      <c r="I987" s="2" t="s">
        <v>133</v>
      </c>
      <c r="J987">
        <v>0</v>
      </c>
      <c r="K987">
        <v>0</v>
      </c>
      <c r="L987">
        <v>0</v>
      </c>
      <c r="M987">
        <v>0</v>
      </c>
      <c r="N987" s="5">
        <v>0</v>
      </c>
      <c r="O987">
        <v>0</v>
      </c>
    </row>
    <row r="988" spans="1:15" hidden="1" x14ac:dyDescent="0.25">
      <c r="A988" s="2" t="s">
        <v>6064</v>
      </c>
      <c r="B988" s="3">
        <v>43955</v>
      </c>
      <c r="C988" s="2" t="s">
        <v>6065</v>
      </c>
      <c r="D988" t="s">
        <v>6181</v>
      </c>
      <c r="E988" s="2">
        <v>1</v>
      </c>
      <c r="F988" s="2" t="s">
        <v>6066</v>
      </c>
      <c r="G988" s="4" t="s">
        <v>6067</v>
      </c>
      <c r="H988" s="2" t="s">
        <v>19</v>
      </c>
      <c r="I988" s="2" t="s">
        <v>147</v>
      </c>
      <c r="J988">
        <v>0</v>
      </c>
      <c r="K988">
        <v>0</v>
      </c>
      <c r="L988">
        <v>0</v>
      </c>
      <c r="M988">
        <v>0</v>
      </c>
      <c r="N988" s="5">
        <v>0</v>
      </c>
      <c r="O988">
        <v>0</v>
      </c>
    </row>
    <row r="989" spans="1:15" hidden="1" x14ac:dyDescent="0.25">
      <c r="A989" s="2" t="s">
        <v>6070</v>
      </c>
      <c r="B989" s="3">
        <v>44247</v>
      </c>
      <c r="C989" s="2" t="s">
        <v>6071</v>
      </c>
      <c r="D989" t="s">
        <v>6158</v>
      </c>
      <c r="E989" s="2">
        <v>5</v>
      </c>
      <c r="F989" s="2" t="s">
        <v>6072</v>
      </c>
      <c r="G989" s="4" t="s">
        <v>6073</v>
      </c>
      <c r="H989" s="2" t="s">
        <v>28</v>
      </c>
      <c r="I989" s="2" t="s">
        <v>251</v>
      </c>
      <c r="J989">
        <v>0</v>
      </c>
      <c r="K989">
        <v>0</v>
      </c>
      <c r="L989">
        <v>0</v>
      </c>
      <c r="M989">
        <v>0</v>
      </c>
      <c r="N989" s="5">
        <v>0</v>
      </c>
      <c r="O989">
        <v>0</v>
      </c>
    </row>
    <row r="990" spans="1:15" hidden="1" x14ac:dyDescent="0.25">
      <c r="A990" s="2" t="s">
        <v>6076</v>
      </c>
      <c r="B990" s="3">
        <v>43897</v>
      </c>
      <c r="C990" s="2" t="s">
        <v>6077</v>
      </c>
      <c r="D990" t="s">
        <v>6138</v>
      </c>
      <c r="E990" s="2">
        <v>3</v>
      </c>
      <c r="F990" s="2" t="s">
        <v>6078</v>
      </c>
      <c r="G990" s="4">
        <v>0</v>
      </c>
      <c r="H990" s="2" t="s">
        <v>28</v>
      </c>
      <c r="I990" s="2" t="s">
        <v>367</v>
      </c>
      <c r="J990">
        <v>0</v>
      </c>
      <c r="K990">
        <v>0</v>
      </c>
      <c r="L990">
        <v>0</v>
      </c>
      <c r="M990">
        <v>0</v>
      </c>
      <c r="N990" s="5">
        <v>0</v>
      </c>
      <c r="O990">
        <v>0</v>
      </c>
    </row>
    <row r="991" spans="1:15" hidden="1" x14ac:dyDescent="0.25">
      <c r="A991" s="2" t="s">
        <v>6081</v>
      </c>
      <c r="B991" s="3">
        <v>43560</v>
      </c>
      <c r="C991" s="2" t="s">
        <v>6082</v>
      </c>
      <c r="D991" t="s">
        <v>6175</v>
      </c>
      <c r="E991" s="2">
        <v>6</v>
      </c>
      <c r="F991" s="2" t="s">
        <v>6083</v>
      </c>
      <c r="G991" s="4">
        <v>0</v>
      </c>
      <c r="H991" s="2" t="s">
        <v>19</v>
      </c>
      <c r="I991" s="2" t="s">
        <v>104</v>
      </c>
      <c r="J991">
        <v>0</v>
      </c>
      <c r="K991">
        <v>0</v>
      </c>
      <c r="L991">
        <v>0</v>
      </c>
      <c r="M991">
        <v>0</v>
      </c>
      <c r="N991" s="5">
        <v>0</v>
      </c>
      <c r="O991">
        <v>0</v>
      </c>
    </row>
    <row r="992" spans="1:15" hidden="1" x14ac:dyDescent="0.25">
      <c r="A992" s="2" t="s">
        <v>6086</v>
      </c>
      <c r="B992" s="3">
        <v>44718</v>
      </c>
      <c r="C992" s="2" t="s">
        <v>6118</v>
      </c>
      <c r="D992" t="s">
        <v>6153</v>
      </c>
      <c r="E992" s="2">
        <v>5</v>
      </c>
      <c r="F992" s="2" t="s">
        <v>6088</v>
      </c>
      <c r="G992" s="4" t="s">
        <v>6089</v>
      </c>
      <c r="H992" s="2" t="s">
        <v>19</v>
      </c>
      <c r="I992" s="2" t="s">
        <v>290</v>
      </c>
      <c r="J992">
        <v>0</v>
      </c>
      <c r="K992">
        <v>0</v>
      </c>
      <c r="L992">
        <v>0</v>
      </c>
      <c r="M992">
        <v>0</v>
      </c>
      <c r="N992" s="5">
        <v>0</v>
      </c>
      <c r="O992">
        <v>0</v>
      </c>
    </row>
    <row r="993" spans="1:15" hidden="1" x14ac:dyDescent="0.25">
      <c r="A993" s="2" t="s">
        <v>6086</v>
      </c>
      <c r="B993" s="3">
        <v>44718</v>
      </c>
      <c r="C993" s="2" t="s">
        <v>6118</v>
      </c>
      <c r="D993" t="s">
        <v>6169</v>
      </c>
      <c r="E993" s="2">
        <v>2</v>
      </c>
      <c r="F993" s="2" t="s">
        <v>6093</v>
      </c>
      <c r="G993" s="4">
        <v>0</v>
      </c>
      <c r="H993" s="2" t="s">
        <v>19</v>
      </c>
      <c r="I993" s="2" t="s">
        <v>65</v>
      </c>
      <c r="J993">
        <v>0</v>
      </c>
      <c r="K993">
        <v>0</v>
      </c>
      <c r="L993">
        <v>0</v>
      </c>
      <c r="M993">
        <v>0</v>
      </c>
      <c r="N993" s="5">
        <v>0</v>
      </c>
      <c r="O993">
        <v>0</v>
      </c>
    </row>
    <row r="994" spans="1:15" hidden="1" x14ac:dyDescent="0.25">
      <c r="A994" s="2" t="s">
        <v>6096</v>
      </c>
      <c r="B994" s="3">
        <v>44276</v>
      </c>
      <c r="C994" s="2" t="s">
        <v>6097</v>
      </c>
      <c r="D994" t="s">
        <v>6164</v>
      </c>
      <c r="E994" s="2">
        <v>3</v>
      </c>
      <c r="F994" s="2" t="s">
        <v>6098</v>
      </c>
      <c r="G994" s="4">
        <v>0</v>
      </c>
      <c r="H994" s="2" t="s">
        <v>318</v>
      </c>
      <c r="I994" s="2" t="s">
        <v>488</v>
      </c>
      <c r="J994">
        <v>0</v>
      </c>
      <c r="K994">
        <v>0</v>
      </c>
      <c r="L994">
        <v>0</v>
      </c>
      <c r="M994">
        <v>0</v>
      </c>
      <c r="N994" s="5">
        <v>0</v>
      </c>
      <c r="O994">
        <v>0</v>
      </c>
    </row>
    <row r="995" spans="1:15" hidden="1" x14ac:dyDescent="0.25">
      <c r="A995" s="2" t="s">
        <v>6101</v>
      </c>
      <c r="B995" s="3">
        <v>44549</v>
      </c>
      <c r="C995" s="2" t="s">
        <v>6102</v>
      </c>
      <c r="D995" t="s">
        <v>6140</v>
      </c>
      <c r="E995" s="2">
        <v>6</v>
      </c>
      <c r="F995" s="2" t="s">
        <v>6103</v>
      </c>
      <c r="G995" s="4">
        <v>0</v>
      </c>
      <c r="H995" s="2" t="s">
        <v>19</v>
      </c>
      <c r="I995" s="2" t="s">
        <v>46</v>
      </c>
      <c r="J995">
        <v>0</v>
      </c>
      <c r="K995">
        <v>0</v>
      </c>
      <c r="L995">
        <v>0</v>
      </c>
      <c r="M995">
        <v>0</v>
      </c>
      <c r="N995" s="5">
        <v>0</v>
      </c>
      <c r="O995">
        <v>0</v>
      </c>
    </row>
    <row r="996" spans="1:15" hidden="1" x14ac:dyDescent="0.25">
      <c r="A996" s="2" t="s">
        <v>6106</v>
      </c>
      <c r="B996" s="3">
        <v>44244</v>
      </c>
      <c r="C996" s="2" t="s">
        <v>6107</v>
      </c>
      <c r="D996" t="s">
        <v>6154</v>
      </c>
      <c r="E996" s="2">
        <v>3</v>
      </c>
      <c r="F996" s="2" t="s">
        <v>6108</v>
      </c>
      <c r="G996" s="4">
        <v>0</v>
      </c>
      <c r="H996" s="2" t="s">
        <v>318</v>
      </c>
      <c r="I996" s="2" t="s">
        <v>465</v>
      </c>
      <c r="J996">
        <v>0</v>
      </c>
      <c r="K996">
        <v>0</v>
      </c>
      <c r="L996">
        <v>0</v>
      </c>
      <c r="M996">
        <v>0</v>
      </c>
      <c r="N996" s="5">
        <v>0</v>
      </c>
      <c r="O996">
        <v>0</v>
      </c>
    </row>
    <row r="997" spans="1:15" hidden="1" x14ac:dyDescent="0.25">
      <c r="A997" s="2" t="s">
        <v>6111</v>
      </c>
      <c r="B997" s="3">
        <v>43836</v>
      </c>
      <c r="C997" s="2" t="s">
        <v>6112</v>
      </c>
      <c r="D997" t="s">
        <v>6142</v>
      </c>
      <c r="E997" s="2">
        <v>1</v>
      </c>
      <c r="F997" s="2" t="s">
        <v>6113</v>
      </c>
      <c r="G997" s="4" t="s">
        <v>6114</v>
      </c>
      <c r="H997" s="2" t="s">
        <v>19</v>
      </c>
      <c r="I997" s="2" t="s">
        <v>52</v>
      </c>
      <c r="J997">
        <v>0</v>
      </c>
      <c r="K997">
        <v>0</v>
      </c>
      <c r="L997">
        <v>0</v>
      </c>
      <c r="M997">
        <v>0</v>
      </c>
      <c r="N997" s="5">
        <v>0</v>
      </c>
      <c r="O997">
        <v>0</v>
      </c>
    </row>
    <row r="998" spans="1:15" hidden="1" x14ac:dyDescent="0.25">
      <c r="A998" s="2" t="s">
        <v>6117</v>
      </c>
      <c r="B998" s="3">
        <v>44685</v>
      </c>
      <c r="C998" s="2" t="s">
        <v>6118</v>
      </c>
      <c r="D998" t="s">
        <v>6146</v>
      </c>
      <c r="E998" s="2">
        <v>5</v>
      </c>
      <c r="F998" s="2" t="s">
        <v>6119</v>
      </c>
      <c r="G998" s="4">
        <v>0</v>
      </c>
      <c r="H998" s="2" t="s">
        <v>19</v>
      </c>
      <c r="I998" s="2" t="s">
        <v>4511</v>
      </c>
      <c r="J998">
        <v>0</v>
      </c>
      <c r="K998">
        <v>0</v>
      </c>
      <c r="L998">
        <v>0</v>
      </c>
      <c r="M998">
        <v>0</v>
      </c>
      <c r="N998" s="5">
        <v>0</v>
      </c>
      <c r="O998">
        <v>0</v>
      </c>
    </row>
    <row r="999" spans="1:15" hidden="1" x14ac:dyDescent="0.25">
      <c r="A999" s="2" t="s">
        <v>6122</v>
      </c>
      <c r="B999" s="3">
        <v>43749</v>
      </c>
      <c r="C999" s="2" t="s">
        <v>6118</v>
      </c>
      <c r="D999" t="s">
        <v>6157</v>
      </c>
      <c r="E999" s="2">
        <v>4</v>
      </c>
      <c r="F999" s="2" t="s">
        <v>6124</v>
      </c>
      <c r="G999" s="4">
        <v>0</v>
      </c>
      <c r="H999" s="2" t="s">
        <v>19</v>
      </c>
      <c r="I999" s="2" t="s">
        <v>78</v>
      </c>
      <c r="J999">
        <v>0</v>
      </c>
      <c r="K999">
        <v>0</v>
      </c>
      <c r="L999">
        <v>0</v>
      </c>
      <c r="M999">
        <v>0</v>
      </c>
      <c r="N999" s="5">
        <v>0</v>
      </c>
      <c r="O999">
        <v>0</v>
      </c>
    </row>
    <row r="1000" spans="1:15" hidden="1" x14ac:dyDescent="0.25">
      <c r="A1000" s="2" t="s">
        <v>6127</v>
      </c>
      <c r="B1000" s="3">
        <v>44411</v>
      </c>
      <c r="C1000" s="2" t="s">
        <v>6128</v>
      </c>
      <c r="D1000" t="s">
        <v>6147</v>
      </c>
      <c r="E1000" s="2">
        <v>1</v>
      </c>
      <c r="F1000" s="2" t="s">
        <v>6129</v>
      </c>
      <c r="G1000" s="4" t="s">
        <v>6130</v>
      </c>
      <c r="H1000" s="2" t="s">
        <v>19</v>
      </c>
      <c r="I1000" s="2" t="s">
        <v>146</v>
      </c>
      <c r="J1000">
        <v>0</v>
      </c>
      <c r="K1000">
        <v>0</v>
      </c>
      <c r="L1000">
        <v>0</v>
      </c>
      <c r="M1000">
        <v>0</v>
      </c>
      <c r="N1000" s="5">
        <v>0</v>
      </c>
      <c r="O1000">
        <v>0</v>
      </c>
    </row>
    <row r="1001" spans="1:15" hidden="1" x14ac:dyDescent="0.25">
      <c r="A1001" s="2" t="s">
        <v>6133</v>
      </c>
      <c r="B1001" s="3">
        <v>44119</v>
      </c>
      <c r="C1001" s="2" t="s">
        <v>6134</v>
      </c>
      <c r="D1001" t="s">
        <v>6156</v>
      </c>
      <c r="E1001" s="2">
        <v>3</v>
      </c>
      <c r="F1001" s="2" t="s">
        <v>6135</v>
      </c>
      <c r="G1001" s="4">
        <v>0</v>
      </c>
      <c r="H1001" s="2" t="s">
        <v>28</v>
      </c>
      <c r="I1001" s="2" t="s">
        <v>180</v>
      </c>
      <c r="J1001">
        <v>0</v>
      </c>
      <c r="K1001">
        <v>0</v>
      </c>
      <c r="L1001">
        <v>0</v>
      </c>
      <c r="M1001">
        <v>0</v>
      </c>
      <c r="N1001" s="5">
        <v>0</v>
      </c>
      <c r="O1001">
        <v>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144" workbookViewId="0">
      <selection activeCell="C6" sqref="C6:C7 C9 D15 D17 D20 C22 C27 C32 D35 D41 C41:C42 C45 C48 D50 D54 C57 C60 D61 C63:C64 C66 C74:C75 C78 C85 D87:D90 C92 C94 C96 D96:D98 C100:C102 C110 D113 C116 C132 C136:D136 C139:C141 C144:D144 C151 C153 C155 C160:C161 C167:C168 C170 D172 D174 C176 D179 C181 D189 C195 D198 C203 C206:C207 D208 D213 C225 C233 C237:D237 C239 D242 C242:C243 C249 C251 C254 D256 D262 C265:C266 C270 C272:D272 C282 C286:C287 D288 C290 C291:D291 C293 D293:D294 C296 C297:D297 D305:D306 D310 C316 D321 C326 C328 C330 D331 C336:D336 C339 D344:D345 C346 C355 D356 C359 D365 D367 C368 C369:D369 C371:D371 C375 D381 C385:C386 C388 D392:D393 D397 C409 C411:C414 C416 D417 C418:C419 D420 C424:C425 C429 C434 C436 C439 D447 D449 D456 D470 C473 D477 C481 C485 D486 C493 C497 C501:C502 C505 D515 C518:C519 C526:C527 C535 C537 D539:D541 C543 C548:C549 D555 C556 D558 C559:C560 C562:C563 C569 C574:D574 D576 D579 D583 C588 D589 D591 D593 C594 D595 C597:D597 D601 D605 C606 C610:D610 C614:C616 D624 C625 D626 D631 C640 C642 D645 C646 C653 D654 D657:D658 C660:D660 D664:D665 D674 C677:C678 D682 C686 C692:D692 C699:D699 D702 D704 C705:C706 C709 C711 C714:D714 D717 C724 C726 C728 C733 C736 D737 C741 C746 C752 D756 D760 D762:D763 C765 C770 D772 C774 C776 D779 C782 D786 C789 C798 C801:D801 D805 C806:C807 C808:D808 C811 D819 C820 D826 D837 D843:D844 D847 C848 D849 C850 D854:D855 C862 C867 D869 C871 C880:C881 C883 D895 C896:C897 C900 D901 C902 C907 C911 C914 C918:D918 C924:D924 D926 C927 D930 D932 C933:D933 C935 C947:C948 D949 C952 D960:D961 C963 D967 C972 C974 C981:C982 D986 C990:C991 C993:C996 C998:C999 C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I22" sqref="I2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DASHBOARD</vt:lpstr>
      <vt:lpstr>PROFIT DASHBOARD</vt:lpstr>
      <vt:lpstr>PIVOT</vt:lpstr>
      <vt:lpstr>orders</vt:lpstr>
      <vt:lpstr>customers</vt:lpstr>
      <vt:lpstr>PROFIT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hp</cp:lastModifiedBy>
  <cp:revision/>
  <cp:lastPrinted>2026-06-24T16:04:59Z</cp:lastPrinted>
  <dcterms:created xsi:type="dcterms:W3CDTF">2022-11-26T09:51:45Z</dcterms:created>
  <dcterms:modified xsi:type="dcterms:W3CDTF">2026-06-27T10:01:58Z</dcterms:modified>
  <cp:category/>
  <cp:contentStatus/>
</cp:coreProperties>
</file>